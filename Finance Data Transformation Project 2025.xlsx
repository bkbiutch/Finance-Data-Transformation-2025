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f631340a5cd5b5cf/文档/"/>
    </mc:Choice>
  </mc:AlternateContent>
  <xr:revisionPtr revIDLastSave="2783" documentId="8_{68953555-A209-4510-A590-1002797626DF}" xr6:coauthVersionLast="47" xr6:coauthVersionMax="47" xr10:uidLastSave="{3057B757-ADC8-4460-B374-3E290B0EA99D}"/>
  <bookViews>
    <workbookView xWindow="-108" yWindow="-108" windowWidth="23256" windowHeight="12456" activeTab="2" xr2:uid="{EBDF55CE-59DF-4DEB-860F-D9DA2252596C}"/>
  </bookViews>
  <sheets>
    <sheet name="Dashboard" sheetId="31" r:id="rId1"/>
    <sheet name="Master2" sheetId="17" r:id="rId2"/>
    <sheet name="Calcs" sheetId="30" r:id="rId3"/>
    <sheet name="Mapping" sheetId="5" r:id="rId4"/>
    <sheet name=" Master" sheetId="12" r:id="rId5"/>
  </sheets>
  <definedNames>
    <definedName name="_xlchart.v1.0" hidden="1">Calcs!$I$2:$L$2</definedName>
    <definedName name="_xlchart.v1.1" hidden="1">Calcs!$I$3:$L$3</definedName>
    <definedName name="_xlcn.WorksheetConnection_FinanceDataTransformationProject2025.xlsxCleanedSheet1" hidden="1">CleanedSheet[]</definedName>
    <definedName name="ExternalData_1" localSheetId="1" hidden="1">Master2!$A$1:$N$598</definedName>
    <definedName name="Slicer_Date_Received__Month">#N/A</definedName>
  </definedNames>
  <calcPr calcId="191029"/>
  <pivotCaches>
    <pivotCache cacheId="52" r:id="rId6"/>
    <pivotCache cacheId="55" r:id="rId7"/>
    <pivotCache cacheId="58" r:id="rId8"/>
    <pivotCache cacheId="61" r:id="rId9"/>
    <pivotCache cacheId="64" r:id="rId10"/>
    <pivotCache cacheId="67" r:id="rId11"/>
    <pivotCache cacheId="70"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eanedSheet" name="CleanedSheet" connection="WorksheetConnection_Finance Data Transformation Project 2025.xlsx!CleanedSheet"/>
        </x15:modelTables>
        <x15:extLst>
          <ext xmlns:x16="http://schemas.microsoft.com/office/spreadsheetml/2014/11/main" uri="{9835A34E-60A6-4A7C-AAB8-D5F71C897F49}">
            <x16:modelTimeGroupings>
              <x16:modelTimeGrouping tableName="CleanedSheet" columnName="Date Received" columnId="Date Received">
                <x16:calculatedTimeColumn columnName="Date Received (Month Index)" columnId="Date Received (Month Index)" contentType="monthsindex" isSelected="1"/>
                <x16:calculatedTimeColumn columnName="Date Received (Month)" columnId="Date Received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30" l="1"/>
  <c r="K2" i="30"/>
  <c r="J2" i="30"/>
  <c r="I2" i="30"/>
  <c r="D598" i="12"/>
  <c r="D597" i="12"/>
  <c r="D596" i="12"/>
  <c r="D595" i="12"/>
  <c r="D594" i="12"/>
  <c r="D593" i="12"/>
  <c r="D592" i="12"/>
  <c r="D591" i="12"/>
  <c r="D590" i="12"/>
  <c r="D589" i="12"/>
  <c r="D588" i="12"/>
  <c r="D587" i="12"/>
  <c r="D586" i="12"/>
  <c r="D585" i="12"/>
  <c r="D584" i="12"/>
  <c r="D583" i="12"/>
  <c r="D582" i="12"/>
  <c r="D581" i="12"/>
  <c r="D580" i="12"/>
  <c r="D579" i="12"/>
  <c r="D578" i="12"/>
  <c r="D577" i="12"/>
  <c r="D576" i="12"/>
  <c r="D575" i="12"/>
  <c r="D574" i="12"/>
  <c r="D573" i="12"/>
  <c r="D572" i="12"/>
  <c r="D571" i="12"/>
  <c r="D570" i="12"/>
  <c r="D569" i="12"/>
  <c r="D568" i="12"/>
  <c r="D567" i="12"/>
  <c r="D566" i="12"/>
  <c r="D565" i="12"/>
  <c r="D564" i="12"/>
  <c r="D563" i="12"/>
  <c r="D562" i="12"/>
  <c r="D561" i="12"/>
  <c r="D560" i="12"/>
  <c r="D559" i="12"/>
  <c r="D558" i="12"/>
  <c r="D557" i="12"/>
  <c r="D556" i="12"/>
  <c r="D555" i="12"/>
  <c r="D554" i="12"/>
  <c r="D553" i="12"/>
  <c r="D552" i="12"/>
  <c r="D551" i="12"/>
  <c r="D550" i="12"/>
  <c r="D549" i="12"/>
  <c r="D548" i="12"/>
  <c r="D547" i="12"/>
  <c r="D546" i="12"/>
  <c r="D545" i="12"/>
  <c r="D544" i="12"/>
  <c r="D543" i="12"/>
  <c r="D542" i="12"/>
  <c r="D541" i="12"/>
  <c r="D540" i="12"/>
  <c r="D539" i="12"/>
  <c r="D538" i="12"/>
  <c r="D537" i="12"/>
  <c r="D536" i="12"/>
  <c r="D535" i="12"/>
  <c r="D534" i="12"/>
  <c r="D533" i="12"/>
  <c r="D532" i="12"/>
  <c r="D531" i="12"/>
  <c r="D530" i="12"/>
  <c r="D529" i="12"/>
  <c r="D528" i="12"/>
  <c r="D527" i="12"/>
  <c r="D526" i="12"/>
  <c r="D525" i="12"/>
  <c r="D524" i="12"/>
  <c r="D523" i="12"/>
  <c r="D522" i="12"/>
  <c r="D521" i="12"/>
  <c r="D520" i="12"/>
  <c r="D519" i="12"/>
  <c r="D518" i="12"/>
  <c r="D517" i="12"/>
  <c r="D516" i="12"/>
  <c r="D515" i="12"/>
  <c r="D514" i="12"/>
  <c r="D513" i="12"/>
  <c r="D512" i="12"/>
  <c r="D511" i="12"/>
  <c r="D510" i="12"/>
  <c r="D509" i="12"/>
  <c r="D508" i="12"/>
  <c r="D507" i="12"/>
  <c r="D506" i="12"/>
  <c r="D505" i="12"/>
  <c r="D504" i="12"/>
  <c r="D503" i="12"/>
  <c r="D502" i="12"/>
  <c r="D501" i="12"/>
  <c r="D500" i="12"/>
  <c r="D499" i="12"/>
  <c r="D498" i="12"/>
  <c r="D497" i="12"/>
  <c r="D496" i="12"/>
  <c r="D495" i="12"/>
  <c r="D494" i="12"/>
  <c r="D493" i="12"/>
  <c r="D492" i="12"/>
  <c r="D491" i="12"/>
  <c r="D490" i="12"/>
  <c r="D489" i="12"/>
  <c r="D488" i="12"/>
  <c r="D487" i="12"/>
  <c r="D486" i="12"/>
  <c r="D485" i="12"/>
  <c r="D484" i="12"/>
  <c r="D483" i="12"/>
  <c r="D482" i="12"/>
  <c r="D481" i="12"/>
  <c r="D480" i="12"/>
  <c r="D479" i="12"/>
  <c r="D478" i="12"/>
  <c r="D477" i="12"/>
  <c r="D476" i="12"/>
  <c r="D475" i="12"/>
  <c r="D474" i="12"/>
  <c r="D473" i="12"/>
  <c r="D472" i="12"/>
  <c r="D471" i="12"/>
  <c r="D470" i="12"/>
  <c r="D469" i="12"/>
  <c r="D468" i="12"/>
  <c r="D467" i="12"/>
  <c r="D466" i="12"/>
  <c r="D465" i="12"/>
  <c r="D464" i="12"/>
  <c r="D463" i="12"/>
  <c r="D462" i="12"/>
  <c r="D461" i="12"/>
  <c r="D460" i="12"/>
  <c r="D459" i="12"/>
  <c r="D458" i="12"/>
  <c r="D457" i="12"/>
  <c r="D456" i="12"/>
  <c r="D455" i="12"/>
  <c r="D454" i="12"/>
  <c r="D453" i="12"/>
  <c r="D452" i="12"/>
  <c r="D451" i="12"/>
  <c r="D450" i="12"/>
  <c r="D449" i="12"/>
  <c r="D448" i="12"/>
  <c r="D447" i="12"/>
  <c r="D446" i="12"/>
  <c r="D445" i="12"/>
  <c r="D444" i="12"/>
  <c r="D443" i="12"/>
  <c r="D442" i="12"/>
  <c r="D441" i="12"/>
  <c r="D440" i="12"/>
  <c r="D439" i="12"/>
  <c r="D438" i="12"/>
  <c r="D437" i="12"/>
  <c r="D436" i="12"/>
  <c r="D435" i="12"/>
  <c r="D434" i="12"/>
  <c r="D433" i="12"/>
  <c r="D432" i="12"/>
  <c r="D431" i="12"/>
  <c r="D430" i="12"/>
  <c r="D429" i="12"/>
  <c r="D428" i="12"/>
  <c r="D427" i="12"/>
  <c r="D426" i="12"/>
  <c r="D425" i="12"/>
  <c r="D424" i="12"/>
  <c r="D423" i="12"/>
  <c r="D422" i="12"/>
  <c r="D421" i="12"/>
  <c r="D420" i="12"/>
  <c r="D419" i="12"/>
  <c r="D418" i="12"/>
  <c r="D417" i="12"/>
  <c r="D416" i="12"/>
  <c r="D415" i="12"/>
  <c r="D414" i="12"/>
  <c r="D413" i="12"/>
  <c r="D412" i="12"/>
  <c r="D411" i="12"/>
  <c r="D410" i="12"/>
  <c r="D409" i="12"/>
  <c r="D408" i="12"/>
  <c r="D407" i="12"/>
  <c r="D406" i="12"/>
  <c r="D405" i="12"/>
  <c r="D404" i="12"/>
  <c r="D403" i="12"/>
  <c r="D402" i="12"/>
  <c r="D401" i="12"/>
  <c r="D400" i="12"/>
  <c r="D399" i="12"/>
  <c r="D398" i="12"/>
  <c r="D397" i="12"/>
  <c r="D396" i="12"/>
  <c r="D395" i="12"/>
  <c r="D394" i="12"/>
  <c r="D393" i="12"/>
  <c r="D392" i="12"/>
  <c r="D391" i="12"/>
  <c r="D390" i="12"/>
  <c r="D389" i="12"/>
  <c r="D388" i="12"/>
  <c r="D387" i="12"/>
  <c r="D386" i="12"/>
  <c r="D385" i="12"/>
  <c r="D384" i="12"/>
  <c r="D383" i="12"/>
  <c r="D382" i="12"/>
  <c r="D381" i="12"/>
  <c r="D380" i="12"/>
  <c r="D379" i="12"/>
  <c r="D378" i="12"/>
  <c r="D377" i="12"/>
  <c r="D376" i="12"/>
  <c r="D375" i="12"/>
  <c r="D374" i="12"/>
  <c r="D373" i="12"/>
  <c r="D372" i="12"/>
  <c r="D371" i="12"/>
  <c r="D370" i="12"/>
  <c r="D369" i="12"/>
  <c r="D368" i="12"/>
  <c r="D367" i="12"/>
  <c r="D366" i="12"/>
  <c r="D365" i="12"/>
  <c r="D364" i="12"/>
  <c r="D363" i="12"/>
  <c r="D362" i="12"/>
  <c r="D361" i="12"/>
  <c r="D360" i="12"/>
  <c r="D359" i="12"/>
  <c r="D358" i="12"/>
  <c r="D357" i="12"/>
  <c r="D356" i="12"/>
  <c r="D355" i="12"/>
  <c r="D354" i="12"/>
  <c r="D353" i="12"/>
  <c r="D352" i="12"/>
  <c r="D351" i="12"/>
  <c r="D350" i="12"/>
  <c r="D349" i="12"/>
  <c r="D348" i="12"/>
  <c r="D347" i="12"/>
  <c r="D346" i="12"/>
  <c r="D345" i="12"/>
  <c r="D344" i="12"/>
  <c r="D343" i="12"/>
  <c r="D342" i="12"/>
  <c r="D341" i="12"/>
  <c r="D340" i="12"/>
  <c r="D339" i="12"/>
  <c r="D338" i="12"/>
  <c r="D337" i="12"/>
  <c r="D336" i="12"/>
  <c r="D335" i="12"/>
  <c r="D334" i="12"/>
  <c r="D333" i="12"/>
  <c r="D332" i="12"/>
  <c r="D331" i="12"/>
  <c r="D330" i="12"/>
  <c r="D329" i="12"/>
  <c r="D328" i="12"/>
  <c r="D327" i="12"/>
  <c r="D326" i="12"/>
  <c r="D325" i="12"/>
  <c r="D324" i="12"/>
  <c r="D323" i="12"/>
  <c r="D322" i="12"/>
  <c r="D321" i="12"/>
  <c r="D320" i="12"/>
  <c r="D319" i="12"/>
  <c r="D318" i="12"/>
  <c r="D317" i="12"/>
  <c r="D316" i="12"/>
  <c r="D315" i="12"/>
  <c r="D314" i="12"/>
  <c r="D313" i="12"/>
  <c r="D312" i="12"/>
  <c r="D311" i="12"/>
  <c r="D310" i="12"/>
  <c r="D309" i="12"/>
  <c r="D308" i="12"/>
  <c r="D307" i="12"/>
  <c r="D306" i="12"/>
  <c r="D305" i="12"/>
  <c r="D304" i="12"/>
  <c r="D303" i="12"/>
  <c r="D302" i="12"/>
  <c r="D301" i="12"/>
  <c r="D300" i="12"/>
  <c r="D299" i="12"/>
  <c r="D298" i="12"/>
  <c r="D297" i="12"/>
  <c r="D296" i="12"/>
  <c r="D295" i="12"/>
  <c r="D294" i="12"/>
  <c r="D293" i="12"/>
  <c r="D292" i="12"/>
  <c r="D291" i="12"/>
  <c r="D290" i="12"/>
  <c r="D289" i="12"/>
  <c r="D288" i="12"/>
  <c r="D287" i="12"/>
  <c r="D286" i="12"/>
  <c r="D285" i="12"/>
  <c r="D284" i="12"/>
  <c r="D283" i="12"/>
  <c r="D282" i="12"/>
  <c r="D281" i="12"/>
  <c r="D280" i="12"/>
  <c r="D279" i="12"/>
  <c r="D278" i="12"/>
  <c r="D277" i="12"/>
  <c r="D276" i="12"/>
  <c r="D275" i="12"/>
  <c r="D274" i="12"/>
  <c r="D273" i="12"/>
  <c r="D272" i="12"/>
  <c r="D271" i="12"/>
  <c r="D270" i="12"/>
  <c r="D269" i="12"/>
  <c r="D268" i="12"/>
  <c r="D267" i="12"/>
  <c r="D266" i="12"/>
  <c r="D265" i="12"/>
  <c r="D264" i="12"/>
  <c r="D263" i="12"/>
  <c r="D262" i="12"/>
  <c r="D261" i="12"/>
  <c r="D260" i="12"/>
  <c r="D259" i="12"/>
  <c r="D258" i="12"/>
  <c r="D257" i="12"/>
  <c r="D256" i="12"/>
  <c r="D255" i="12"/>
  <c r="D254" i="12"/>
  <c r="D253" i="12"/>
  <c r="D252" i="12"/>
  <c r="D251" i="12"/>
  <c r="D250" i="12"/>
  <c r="D249" i="12"/>
  <c r="D248" i="12"/>
  <c r="D247" i="12"/>
  <c r="D246" i="12"/>
  <c r="D245" i="12"/>
  <c r="D244" i="12"/>
  <c r="D243" i="12"/>
  <c r="D242" i="12"/>
  <c r="D241" i="12"/>
  <c r="D240" i="12"/>
  <c r="D239" i="12"/>
  <c r="D238" i="12"/>
  <c r="D237" i="12"/>
  <c r="D236" i="12"/>
  <c r="D235" i="12"/>
  <c r="D234" i="12"/>
  <c r="D233" i="12"/>
  <c r="D232" i="12"/>
  <c r="D231" i="12"/>
  <c r="D230" i="12"/>
  <c r="D229" i="12"/>
  <c r="D228" i="12"/>
  <c r="D227" i="12"/>
  <c r="D226" i="12"/>
  <c r="D225" i="12"/>
  <c r="D224" i="12"/>
  <c r="D223" i="12"/>
  <c r="D222" i="12"/>
  <c r="D221" i="12"/>
  <c r="D220" i="12"/>
  <c r="D219" i="12"/>
  <c r="D218" i="12"/>
  <c r="D217" i="12"/>
  <c r="D216" i="12"/>
  <c r="D215" i="12"/>
  <c r="D214" i="12"/>
  <c r="D213" i="12"/>
  <c r="D212" i="12"/>
  <c r="D211" i="12"/>
  <c r="D210" i="12"/>
  <c r="D209" i="12"/>
  <c r="D208" i="12"/>
  <c r="D207" i="12"/>
  <c r="D206" i="12"/>
  <c r="D205" i="12"/>
  <c r="D204" i="12"/>
  <c r="D203" i="12"/>
  <c r="D202" i="12"/>
  <c r="D201" i="12"/>
  <c r="D200" i="12"/>
  <c r="D199" i="12"/>
  <c r="D198" i="12"/>
  <c r="D197" i="12"/>
  <c r="D196" i="12"/>
  <c r="D195" i="12"/>
  <c r="D194" i="12"/>
  <c r="D193" i="12"/>
  <c r="D192" i="12"/>
  <c r="D191" i="12"/>
  <c r="D190" i="12"/>
  <c r="D189" i="12"/>
  <c r="D188" i="12"/>
  <c r="D187" i="12"/>
  <c r="D186" i="12"/>
  <c r="D185" i="12"/>
  <c r="D184" i="12"/>
  <c r="D183" i="12"/>
  <c r="D182" i="12"/>
  <c r="D181" i="12"/>
  <c r="D180" i="12"/>
  <c r="D179" i="12"/>
  <c r="D178" i="12"/>
  <c r="D177" i="12"/>
  <c r="D176" i="12"/>
  <c r="D175" i="12"/>
  <c r="D174" i="12"/>
  <c r="D173" i="12"/>
  <c r="D172" i="12"/>
  <c r="D171" i="12"/>
  <c r="D170" i="12"/>
  <c r="D169" i="12"/>
  <c r="D168" i="12"/>
  <c r="D167" i="12"/>
  <c r="D166" i="12"/>
  <c r="D165" i="12"/>
  <c r="D164" i="12"/>
  <c r="D163" i="12"/>
  <c r="D162" i="12"/>
  <c r="D161" i="12"/>
  <c r="D160" i="12"/>
  <c r="D159" i="12"/>
  <c r="D158" i="12"/>
  <c r="D157" i="12"/>
  <c r="D156" i="12"/>
  <c r="D155" i="12"/>
  <c r="D154" i="12"/>
  <c r="D153" i="12"/>
  <c r="D152" i="12"/>
  <c r="D151" i="12"/>
  <c r="D150" i="12"/>
  <c r="D149" i="12"/>
  <c r="D148" i="12"/>
  <c r="D147" i="12"/>
  <c r="D146" i="12"/>
  <c r="D145" i="12"/>
  <c r="D144" i="12"/>
  <c r="D143" i="12"/>
  <c r="D142" i="12"/>
  <c r="D141" i="12"/>
  <c r="D140" i="12"/>
  <c r="D139" i="12"/>
  <c r="D138" i="12"/>
  <c r="D137" i="12"/>
  <c r="D136" i="12"/>
  <c r="D135" i="12"/>
  <c r="D134" i="12"/>
  <c r="D133" i="12"/>
  <c r="D132" i="12"/>
  <c r="D131" i="12"/>
  <c r="D130" i="12"/>
  <c r="D129" i="12"/>
  <c r="D128" i="12"/>
  <c r="D127" i="12"/>
  <c r="D126" i="12"/>
  <c r="D125" i="12"/>
  <c r="D124" i="12"/>
  <c r="D123" i="12"/>
  <c r="D122" i="12"/>
  <c r="D121" i="12"/>
  <c r="D120" i="12"/>
  <c r="D119" i="12"/>
  <c r="D118" i="12"/>
  <c r="D117" i="12"/>
  <c r="D116" i="12"/>
  <c r="D115" i="12"/>
  <c r="D114" i="12"/>
  <c r="D113" i="12"/>
  <c r="D112" i="12"/>
  <c r="D111" i="12"/>
  <c r="D110" i="12"/>
  <c r="D109" i="12"/>
  <c r="D108" i="12"/>
  <c r="D107" i="12"/>
  <c r="D106" i="12"/>
  <c r="D105" i="12"/>
  <c r="D104" i="12"/>
  <c r="D103" i="12"/>
  <c r="D102" i="12"/>
  <c r="D101" i="12"/>
  <c r="D100" i="12"/>
  <c r="D99" i="12"/>
  <c r="D98" i="12"/>
  <c r="D97" i="12"/>
  <c r="D96" i="12"/>
  <c r="D95" i="12"/>
  <c r="D94" i="12"/>
  <c r="D93" i="12"/>
  <c r="D92" i="12"/>
  <c r="D91" i="12"/>
  <c r="D90" i="12"/>
  <c r="D89" i="12"/>
  <c r="D88" i="12"/>
  <c r="D87" i="12"/>
  <c r="D86" i="12"/>
  <c r="D85" i="12"/>
  <c r="D84" i="12"/>
  <c r="D83" i="12"/>
  <c r="D82" i="12"/>
  <c r="D81" i="12"/>
  <c r="D80" i="12"/>
  <c r="D79" i="12"/>
  <c r="D78" i="12"/>
  <c r="D77" i="12"/>
  <c r="D76" i="12"/>
  <c r="D75" i="12"/>
  <c r="D74" i="12"/>
  <c r="D73" i="12"/>
  <c r="D72" i="12"/>
  <c r="D71" i="12"/>
  <c r="D70" i="12"/>
  <c r="D69" i="12"/>
  <c r="D68" i="12"/>
  <c r="D67" i="12"/>
  <c r="D66" i="12"/>
  <c r="D65" i="12"/>
  <c r="D64" i="12"/>
  <c r="D63" i="12"/>
  <c r="D62" i="12"/>
  <c r="D61" i="12"/>
  <c r="D60" i="12"/>
  <c r="D59" i="12"/>
  <c r="D58" i="12"/>
  <c r="D57" i="12"/>
  <c r="D56" i="12"/>
  <c r="D55" i="12"/>
  <c r="D54" i="12"/>
  <c r="D53" i="12"/>
  <c r="D52" i="12"/>
  <c r="D51" i="12"/>
  <c r="D50" i="12"/>
  <c r="D49" i="12"/>
  <c r="D48"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D2" i="12"/>
  <c r="K3" i="30"/>
  <c r="J3" i="30"/>
  <c r="L3" i="30"/>
  <c r="I3" i="30"/>
  <c r="D5" i="31"/>
  <c r="T5" i="31"/>
  <c r="P5" i="31"/>
  <c r="H5" i="31"/>
  <c r="L5"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Kim</author>
    <author>butch</author>
  </authors>
  <commentList>
    <comment ref="F12" authorId="0" shapeId="0" xr:uid="{DFAD3D01-BAF8-4277-8B7E-98E004A1998C}">
      <text>
        <r>
          <rPr>
            <b/>
            <sz val="9"/>
            <color indexed="81"/>
            <rFont val="Tahoma"/>
            <family val="2"/>
          </rPr>
          <t>Kim:</t>
        </r>
        <r>
          <rPr>
            <sz val="9"/>
            <color indexed="81"/>
            <rFont val="Tahoma"/>
            <family val="2"/>
          </rPr>
          <t xml:space="preserve">
transfer to bpi</t>
        </r>
      </text>
    </comment>
    <comment ref="F87" authorId="0" shapeId="0" xr:uid="{907397C7-A9EF-48A9-8AB7-FCB70C782151}">
      <text>
        <r>
          <rPr>
            <b/>
            <sz val="9"/>
            <color indexed="81"/>
            <rFont val="Tahoma"/>
            <family val="2"/>
          </rPr>
          <t>Kim:</t>
        </r>
        <r>
          <rPr>
            <sz val="9"/>
            <color indexed="81"/>
            <rFont val="Tahoma"/>
            <family val="2"/>
          </rPr>
          <t xml:space="preserve">
on hand cash</t>
        </r>
      </text>
    </comment>
    <comment ref="F89" authorId="0" shapeId="0" xr:uid="{5CDA12D0-BBDD-48D3-AB47-97D1BB3F80B6}">
      <text>
        <r>
          <rPr>
            <b/>
            <sz val="9"/>
            <color indexed="81"/>
            <rFont val="Tahoma"/>
            <family val="2"/>
          </rPr>
          <t>Kim:</t>
        </r>
        <r>
          <rPr>
            <sz val="9"/>
            <color indexed="81"/>
            <rFont val="Tahoma"/>
            <family val="2"/>
          </rPr>
          <t xml:space="preserve">
ate osie 6k on hand cash,already deposited
CLEAR!</t>
        </r>
      </text>
    </comment>
    <comment ref="F92" authorId="0" shapeId="0" xr:uid="{845F2105-3007-4C10-AC2E-8353DB8B1531}">
      <text>
        <r>
          <rPr>
            <b/>
            <sz val="9"/>
            <color indexed="81"/>
            <rFont val="Tahoma"/>
            <family val="2"/>
          </rPr>
          <t>Kim:</t>
        </r>
        <r>
          <rPr>
            <sz val="9"/>
            <color indexed="81"/>
            <rFont val="Tahoma"/>
            <family val="2"/>
          </rPr>
          <t xml:space="preserve">
plant
</t>
        </r>
      </text>
    </comment>
    <comment ref="F115" authorId="0" shapeId="0" xr:uid="{24406658-F231-443A-97EC-09CAAC2B38B3}">
      <text>
        <r>
          <rPr>
            <b/>
            <sz val="9"/>
            <color indexed="81"/>
            <rFont val="Tahoma"/>
            <family val="2"/>
          </rPr>
          <t>Kim:</t>
        </r>
        <r>
          <rPr>
            <sz val="9"/>
            <color indexed="81"/>
            <rFont val="Tahoma"/>
            <family val="2"/>
          </rPr>
          <t xml:space="preserve">
kim pagibig
</t>
        </r>
      </text>
    </comment>
    <comment ref="C123" authorId="0" shapeId="0" xr:uid="{27BB7E64-6DA5-4D15-B995-FBE284ABA85D}">
      <text>
        <r>
          <rPr>
            <b/>
            <sz val="9"/>
            <color indexed="81"/>
            <rFont val="Tahoma"/>
            <family val="2"/>
          </rPr>
          <t>Kim:</t>
        </r>
        <r>
          <rPr>
            <sz val="9"/>
            <color indexed="81"/>
            <rFont val="Tahoma"/>
            <family val="2"/>
          </rPr>
          <t xml:space="preserve">
chona garcia cabuay
</t>
        </r>
      </text>
    </comment>
    <comment ref="F127" authorId="0" shapeId="0" xr:uid="{44C427EE-84EC-4D15-8E67-F1D47EA26CF0}">
      <text>
        <r>
          <rPr>
            <b/>
            <sz val="9"/>
            <color indexed="81"/>
            <rFont val="Tahoma"/>
            <family val="2"/>
          </rPr>
          <t>Kim:</t>
        </r>
        <r>
          <rPr>
            <sz val="9"/>
            <color indexed="81"/>
            <rFont val="Tahoma"/>
            <family val="2"/>
          </rPr>
          <t xml:space="preserve">
BPI to pay gloan</t>
        </r>
      </text>
    </comment>
    <comment ref="F204" authorId="1" shapeId="0" xr:uid="{5C3D0BB5-5D74-48D0-8183-85DF77F593D2}">
      <text>
        <r>
          <rPr>
            <b/>
            <sz val="9"/>
            <color indexed="81"/>
            <rFont val="Tahoma"/>
            <family val="2"/>
          </rPr>
          <t>butch:</t>
        </r>
        <r>
          <rPr>
            <sz val="9"/>
            <color indexed="81"/>
            <rFont val="Tahoma"/>
            <family val="2"/>
          </rPr>
          <t xml:space="preserve">
New loan</t>
        </r>
      </text>
    </comment>
    <comment ref="F205" authorId="1" shapeId="0" xr:uid="{AAD417ED-70AC-4BA8-B84B-9B20E299D0D1}">
      <text>
        <r>
          <rPr>
            <b/>
            <sz val="9"/>
            <color indexed="81"/>
            <rFont val="Tahoma"/>
            <family val="2"/>
          </rPr>
          <t>butch:</t>
        </r>
        <r>
          <rPr>
            <sz val="9"/>
            <color indexed="81"/>
            <rFont val="Tahoma"/>
            <family val="2"/>
          </rPr>
          <t xml:space="preserve">
Ku</t>
        </r>
      </text>
    </comment>
    <comment ref="F241" authorId="1" shapeId="0" xr:uid="{F071C089-55C8-4A7E-966A-9F4E8BCEB98D}">
      <text>
        <r>
          <rPr>
            <b/>
            <sz val="9"/>
            <color indexed="81"/>
            <rFont val="Tahoma"/>
            <family val="2"/>
          </rPr>
          <t>butch:</t>
        </r>
        <r>
          <rPr>
            <sz val="9"/>
            <color indexed="81"/>
            <rFont val="Tahoma"/>
            <family val="2"/>
          </rPr>
          <t xml:space="preserve">
paid by tay in cash</t>
        </r>
      </text>
    </comment>
    <comment ref="F249" authorId="1" shapeId="0" xr:uid="{133FD5AD-02C9-49D9-B035-B9D44B6A0A6D}">
      <text>
        <r>
          <rPr>
            <b/>
            <sz val="9"/>
            <color indexed="81"/>
            <rFont val="Tahoma"/>
            <family val="2"/>
          </rPr>
          <t>butch:</t>
        </r>
        <r>
          <rPr>
            <sz val="9"/>
            <color indexed="81"/>
            <rFont val="Tahoma"/>
            <family val="2"/>
          </rPr>
          <t xml:space="preserve">
teeth option paid in cash by nanay</t>
        </r>
      </text>
    </comment>
    <comment ref="F250" authorId="1" shapeId="0" xr:uid="{17C1F052-3282-46DF-9A2B-B572AD19CCF6}">
      <text>
        <r>
          <rPr>
            <b/>
            <sz val="9"/>
            <color indexed="81"/>
            <rFont val="Tahoma"/>
            <family val="2"/>
          </rPr>
          <t>butch:</t>
        </r>
        <r>
          <rPr>
            <sz val="9"/>
            <color indexed="81"/>
            <rFont val="Tahoma"/>
            <family val="2"/>
          </rPr>
          <t xml:space="preserve">
plant</t>
        </r>
      </text>
    </comment>
    <comment ref="F312" authorId="1" shapeId="0" xr:uid="{8FD8B7DA-34F7-48E5-BCB5-88CFE73153E7}">
      <text>
        <r>
          <rPr>
            <b/>
            <sz val="9"/>
            <color indexed="81"/>
            <rFont val="Tahoma"/>
            <family val="2"/>
          </rPr>
          <t>butch:</t>
        </r>
        <r>
          <rPr>
            <sz val="9"/>
            <color indexed="81"/>
            <rFont val="Tahoma"/>
            <family val="2"/>
          </rPr>
          <t xml:space="preserve">
cash</t>
        </r>
      </text>
    </comment>
    <comment ref="F458" authorId="1" shapeId="0" xr:uid="{CBBB111C-D3DE-4541-A64D-525A968206E9}">
      <text>
        <r>
          <rPr>
            <b/>
            <sz val="9"/>
            <color indexed="81"/>
            <rFont val="Tahoma"/>
            <family val="2"/>
          </rPr>
          <t>butch:</t>
        </r>
        <r>
          <rPr>
            <sz val="9"/>
            <color indexed="81"/>
            <rFont val="Tahoma"/>
            <family val="2"/>
          </rPr>
          <t xml:space="preserve">
milk</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C5B6C8-FB88-407A-87AC-C6C0C92A3DDA}" keepAlive="1" name="Query - Mapping" description="Connection to the 'Mapping' query in the workbook." type="5" refreshedVersion="0" background="1">
    <dbPr connection="Provider=Microsoft.Mashup.OleDb.1;Data Source=$Workbook$;Location=Mapping;Extended Properties=&quot;&quot;" command="SELECT * FROM [Mapping]"/>
  </connection>
  <connection id="2" xr16:uid="{6CBD3D9D-5FBA-4F7D-9718-537DC7AC5262}" keepAlive="1" name="Query - Master2" description="Connection to the 'Master2' query in the workbook." type="5" refreshedVersion="8" background="1" saveData="1">
    <dbPr connection="Provider=Microsoft.Mashup.OleDb.1;Data Source=$Workbook$;Location=Master2;Extended Properties=&quot;&quot;" command="SELECT * FROM [Master2]"/>
  </connection>
  <connection id="3" xr16:uid="{646E8482-75BC-4D64-AF6F-6C0C5A1251D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C37748CB-D679-4F62-AFA7-AC929A13BD3E}" name="WorksheetConnection_Finance Data Transformation Project 2025.xlsx!CleanedSheet" type="102" refreshedVersion="8" minRefreshableVersion="5">
    <extLst>
      <ext xmlns:x15="http://schemas.microsoft.com/office/spreadsheetml/2010/11/main" uri="{DE250136-89BD-433C-8126-D09CA5730AF9}">
        <x15:connection id="CleanedSheet" autoDelete="1">
          <x15:rangePr sourceName="_xlcn.WorksheetConnection_FinanceDataTransformationProject2025.xlsxCleanedSheet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CleanedSheet].[Flow].&amp;[Outflow]}"/>
    <s v="{[CleanedSheet].[Date Received (Month)].[All]}"/>
    <s v="{[CleanedSheet].[Category].&amp;[Transfer]}"/>
    <s v="{[CleanedSheet].[Flow].&amp;[Inflow]}"/>
    <s v="{[CleanedSheet].[Macro_Category].&amp;[Payments]}"/>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<sst xmlns="http://schemas.openxmlformats.org/spreadsheetml/2006/main" count="7390" uniqueCount="452">
  <si>
    <t>Month</t>
  </si>
  <si>
    <t>Category</t>
  </si>
  <si>
    <t>Amount</t>
  </si>
  <si>
    <t>Ginvest</t>
  </si>
  <si>
    <t>Invest</t>
  </si>
  <si>
    <t>PJLInc</t>
  </si>
  <si>
    <t>Pagibig</t>
  </si>
  <si>
    <t>P&amp;G</t>
  </si>
  <si>
    <t>Entity (Who/What)</t>
  </si>
  <si>
    <t>Savings</t>
  </si>
  <si>
    <t>Investment</t>
  </si>
  <si>
    <t>Personal</t>
  </si>
  <si>
    <t>Plant</t>
  </si>
  <si>
    <t>Insurance</t>
  </si>
  <si>
    <t>Petty</t>
  </si>
  <si>
    <t>Home</t>
  </si>
  <si>
    <t>Laptop</t>
  </si>
  <si>
    <t>Pedia</t>
  </si>
  <si>
    <t>Education</t>
  </si>
  <si>
    <t>Ethel</t>
  </si>
  <si>
    <t>Account ID</t>
  </si>
  <si>
    <t>Description</t>
  </si>
  <si>
    <t>MasterKey</t>
  </si>
  <si>
    <t>Macro-Category</t>
  </si>
  <si>
    <t>N/a</t>
  </si>
  <si>
    <t>Transfer</t>
  </si>
  <si>
    <t>Payments</t>
  </si>
  <si>
    <t>AA</t>
  </si>
  <si>
    <t>AB</t>
  </si>
  <si>
    <t>AC</t>
  </si>
  <si>
    <t>AD</t>
  </si>
  <si>
    <t>AE</t>
  </si>
  <si>
    <t>AF</t>
  </si>
  <si>
    <t>AG</t>
  </si>
  <si>
    <t>AH</t>
  </si>
  <si>
    <t>AI</t>
  </si>
  <si>
    <t>AJ</t>
  </si>
  <si>
    <t>AK</t>
  </si>
  <si>
    <t>AL</t>
  </si>
  <si>
    <t>AM</t>
  </si>
  <si>
    <t>AN</t>
  </si>
  <si>
    <t>AO</t>
  </si>
  <si>
    <t>AP</t>
  </si>
  <si>
    <t>AQ</t>
  </si>
  <si>
    <t>AS</t>
  </si>
  <si>
    <t>AT</t>
  </si>
  <si>
    <t>AU</t>
  </si>
  <si>
    <t>AV</t>
  </si>
  <si>
    <t>AW</t>
  </si>
  <si>
    <t>AX</t>
  </si>
  <si>
    <t>AY</t>
  </si>
  <si>
    <t>AZ</t>
  </si>
  <si>
    <t>BA</t>
  </si>
  <si>
    <t>BpiDD</t>
  </si>
  <si>
    <t>DD</t>
  </si>
  <si>
    <t>BC</t>
  </si>
  <si>
    <t>JM</t>
  </si>
  <si>
    <t>JasBpi</t>
  </si>
  <si>
    <t>Jas</t>
  </si>
  <si>
    <t>BE</t>
  </si>
  <si>
    <t>BF</t>
  </si>
  <si>
    <t>BG</t>
  </si>
  <si>
    <t>BH</t>
  </si>
  <si>
    <t>BI</t>
  </si>
  <si>
    <t>BJ</t>
  </si>
  <si>
    <t>BK</t>
  </si>
  <si>
    <t>Nic</t>
  </si>
  <si>
    <t>BL</t>
  </si>
  <si>
    <t>BM</t>
  </si>
  <si>
    <t>BN</t>
  </si>
  <si>
    <t>BO</t>
  </si>
  <si>
    <t>BP</t>
  </si>
  <si>
    <t>BQ</t>
  </si>
  <si>
    <t>BR</t>
  </si>
  <si>
    <t>BS</t>
  </si>
  <si>
    <t>BT</t>
  </si>
  <si>
    <t>BU</t>
  </si>
  <si>
    <t>BV</t>
  </si>
  <si>
    <t>BW</t>
  </si>
  <si>
    <t>BX</t>
  </si>
  <si>
    <t>BY</t>
  </si>
  <si>
    <t>CA</t>
  </si>
  <si>
    <t>CB</t>
  </si>
  <si>
    <t>CC</t>
  </si>
  <si>
    <t>CD</t>
  </si>
  <si>
    <t>CE</t>
  </si>
  <si>
    <t>CG</t>
  </si>
  <si>
    <t>CH</t>
  </si>
  <si>
    <t>Cashin</t>
  </si>
  <si>
    <t>Cash_In</t>
  </si>
  <si>
    <t>Personal Expense</t>
  </si>
  <si>
    <t>Mc Payment</t>
  </si>
  <si>
    <t>Mc Ride</t>
  </si>
  <si>
    <t>Jrpay</t>
  </si>
  <si>
    <t>Government Payment</t>
  </si>
  <si>
    <t>Certificate</t>
  </si>
  <si>
    <t>Nso</t>
  </si>
  <si>
    <t>Psa</t>
  </si>
  <si>
    <t>Government</t>
  </si>
  <si>
    <t>Nbi Gov't</t>
  </si>
  <si>
    <t>Nbi</t>
  </si>
  <si>
    <t>Pedia Payment</t>
  </si>
  <si>
    <t>Health</t>
  </si>
  <si>
    <t>Monthly Expense</t>
  </si>
  <si>
    <t>Lp Installment</t>
  </si>
  <si>
    <t>Terra Transfer</t>
  </si>
  <si>
    <t>Terra</t>
  </si>
  <si>
    <t>Masukal</t>
  </si>
  <si>
    <t>Toll Fee</t>
  </si>
  <si>
    <t>Slex</t>
  </si>
  <si>
    <t>Autosweep</t>
  </si>
  <si>
    <t>Nlex</t>
  </si>
  <si>
    <t>Easytrip</t>
  </si>
  <si>
    <t>Tv Subscription</t>
  </si>
  <si>
    <t>Loklok</t>
  </si>
  <si>
    <t>Personal Cash</t>
  </si>
  <si>
    <t>Pagibig Fund</t>
  </si>
  <si>
    <t>Card payment</t>
  </si>
  <si>
    <t>Credit Card payment</t>
  </si>
  <si>
    <t>Credit card</t>
  </si>
  <si>
    <t>Ginvestment</t>
  </si>
  <si>
    <t>Repayment</t>
  </si>
  <si>
    <t>Debt</t>
  </si>
  <si>
    <t>Gloan</t>
  </si>
  <si>
    <t>Plantation</t>
  </si>
  <si>
    <t>Crop</t>
  </si>
  <si>
    <t>Monthly Savings</t>
  </si>
  <si>
    <t>School</t>
  </si>
  <si>
    <t>Emergency</t>
  </si>
  <si>
    <t>Efund</t>
  </si>
  <si>
    <t>Insurance Fwd</t>
  </si>
  <si>
    <t>Fwd</t>
  </si>
  <si>
    <t>Fixed Expense</t>
  </si>
  <si>
    <t>Home Expense</t>
  </si>
  <si>
    <t>Rent Home</t>
  </si>
  <si>
    <t>Unreconciled</t>
  </si>
  <si>
    <t>Undisclosed</t>
  </si>
  <si>
    <t>Unidentified</t>
  </si>
  <si>
    <t>Financial Account</t>
  </si>
  <si>
    <t>Saving Account</t>
  </si>
  <si>
    <t>Beverage</t>
  </si>
  <si>
    <t>K.UB</t>
  </si>
  <si>
    <t>Gino</t>
  </si>
  <si>
    <t>Sss Government</t>
  </si>
  <si>
    <t>Sss</t>
  </si>
  <si>
    <t>4969</t>
  </si>
  <si>
    <t>Date Received</t>
  </si>
  <si>
    <t>January</t>
  </si>
  <si>
    <t>816</t>
  </si>
  <si>
    <t>March</t>
  </si>
  <si>
    <t>3957</t>
  </si>
  <si>
    <t>559</t>
  </si>
  <si>
    <t>1082</t>
  </si>
  <si>
    <t>9162</t>
  </si>
  <si>
    <t>5988</t>
  </si>
  <si>
    <t>9032</t>
  </si>
  <si>
    <t>1862</t>
  </si>
  <si>
    <t>8562</t>
  </si>
  <si>
    <t>8497</t>
  </si>
  <si>
    <t>8306</t>
  </si>
  <si>
    <t>1773</t>
  </si>
  <si>
    <t>8072</t>
  </si>
  <si>
    <t>7910</t>
  </si>
  <si>
    <t>7904</t>
  </si>
  <si>
    <t>7261</t>
  </si>
  <si>
    <t>7479</t>
  </si>
  <si>
    <t>384</t>
  </si>
  <si>
    <t>6406</t>
  </si>
  <si>
    <t>6807</t>
  </si>
  <si>
    <t>7507</t>
  </si>
  <si>
    <t>5097</t>
  </si>
  <si>
    <t>5572</t>
  </si>
  <si>
    <t>5763</t>
  </si>
  <si>
    <t>7336</t>
  </si>
  <si>
    <t>5672</t>
  </si>
  <si>
    <t>7276</t>
  </si>
  <si>
    <t>295</t>
  </si>
  <si>
    <t>4530</t>
  </si>
  <si>
    <t>7133</t>
  </si>
  <si>
    <t>7096</t>
  </si>
  <si>
    <t>308</t>
  </si>
  <si>
    <t>5854</t>
  </si>
  <si>
    <t>6009</t>
  </si>
  <si>
    <t>5791</t>
  </si>
  <si>
    <t>5715</t>
  </si>
  <si>
    <t>4690</t>
  </si>
  <si>
    <t>5340</t>
  </si>
  <si>
    <t>529</t>
  </si>
  <si>
    <t>2037</t>
  </si>
  <si>
    <t>2488</t>
  </si>
  <si>
    <t>4494</t>
  </si>
  <si>
    <t>4360</t>
  </si>
  <si>
    <t>3113</t>
  </si>
  <si>
    <t>197</t>
  </si>
  <si>
    <t>0</t>
  </si>
  <si>
    <t>1059</t>
  </si>
  <si>
    <t>2470</t>
  </si>
  <si>
    <t>908</t>
  </si>
  <si>
    <t>April</t>
  </si>
  <si>
    <t>4639</t>
  </si>
  <si>
    <t>21</t>
  </si>
  <si>
    <t>9807</t>
  </si>
  <si>
    <t>834</t>
  </si>
  <si>
    <t>1908</t>
  </si>
  <si>
    <t>5075</t>
  </si>
  <si>
    <t>3992</t>
  </si>
  <si>
    <t>May</t>
  </si>
  <si>
    <t>6425</t>
  </si>
  <si>
    <t>8652</t>
  </si>
  <si>
    <t>7862</t>
  </si>
  <si>
    <t>6811</t>
  </si>
  <si>
    <t>5003</t>
  </si>
  <si>
    <t>1055</t>
  </si>
  <si>
    <t>6673</t>
  </si>
  <si>
    <t>4085</t>
  </si>
  <si>
    <t>9090</t>
  </si>
  <si>
    <t>June</t>
  </si>
  <si>
    <t>7586</t>
  </si>
  <si>
    <t>7310</t>
  </si>
  <si>
    <t>9438</t>
  </si>
  <si>
    <t>1004</t>
  </si>
  <si>
    <t>7269</t>
  </si>
  <si>
    <t>3544</t>
  </si>
  <si>
    <t>1103</t>
  </si>
  <si>
    <t>4210</t>
  </si>
  <si>
    <t>7340</t>
  </si>
  <si>
    <t>367</t>
  </si>
  <si>
    <t>7903</t>
  </si>
  <si>
    <t>5680</t>
  </si>
  <si>
    <t>466</t>
  </si>
  <si>
    <t>July</t>
  </si>
  <si>
    <t>5780</t>
  </si>
  <si>
    <t>3741</t>
  </si>
  <si>
    <t>6170</t>
  </si>
  <si>
    <t>2968</t>
  </si>
  <si>
    <t>7031</t>
  </si>
  <si>
    <t>6473</t>
  </si>
  <si>
    <t>6480</t>
  </si>
  <si>
    <t>6575</t>
  </si>
  <si>
    <t>7436</t>
  </si>
  <si>
    <t>7585</t>
  </si>
  <si>
    <t>6746</t>
  </si>
  <si>
    <t>6194</t>
  </si>
  <si>
    <t>August</t>
  </si>
  <si>
    <t>4107</t>
  </si>
  <si>
    <t>1456</t>
  </si>
  <si>
    <t>4595</t>
  </si>
  <si>
    <t>1077</t>
  </si>
  <si>
    <t>4016</t>
  </si>
  <si>
    <t>September</t>
  </si>
  <si>
    <t>9950</t>
  </si>
  <si>
    <t>8758</t>
  </si>
  <si>
    <t>October</t>
  </si>
  <si>
    <t>9619</t>
  </si>
  <si>
    <t>5125</t>
  </si>
  <si>
    <t>6119</t>
  </si>
  <si>
    <t>November</t>
  </si>
  <si>
    <t>4332</t>
  </si>
  <si>
    <t>4709</t>
  </si>
  <si>
    <t>3037</t>
  </si>
  <si>
    <t>7018</t>
  </si>
  <si>
    <t>453</t>
  </si>
  <si>
    <t>December</t>
  </si>
  <si>
    <t>4637</t>
  </si>
  <si>
    <t>6977</t>
  </si>
  <si>
    <t>4758</t>
  </si>
  <si>
    <t>Total</t>
  </si>
  <si>
    <t>Flow</t>
  </si>
  <si>
    <t>Inflow</t>
  </si>
  <si>
    <t>Outflow</t>
  </si>
  <si>
    <t>Sent to CA</t>
  </si>
  <si>
    <t>Sent to BV</t>
  </si>
  <si>
    <t>Sent to Unidentified</t>
  </si>
  <si>
    <t>Sent to Pagibig Fund</t>
  </si>
  <si>
    <t>Sent to AC</t>
  </si>
  <si>
    <t>Sent to BT</t>
  </si>
  <si>
    <t>Sent to BU</t>
  </si>
  <si>
    <t>Sent to AG</t>
  </si>
  <si>
    <t>Sent to AM</t>
  </si>
  <si>
    <t>Sent to AO</t>
  </si>
  <si>
    <t>Sent to Invest</t>
  </si>
  <si>
    <t>Sent to Gino</t>
  </si>
  <si>
    <t>Sent to CB</t>
  </si>
  <si>
    <t>Sent to Nso</t>
  </si>
  <si>
    <t>Sent to AX</t>
  </si>
  <si>
    <t>Sent to Mc Ride</t>
  </si>
  <si>
    <t>Sent to AJ</t>
  </si>
  <si>
    <t>Sent to AP</t>
  </si>
  <si>
    <t>Sent to BX</t>
  </si>
  <si>
    <t>Sent to AB</t>
  </si>
  <si>
    <t>Sent to Nlex</t>
  </si>
  <si>
    <t>Sent to AZ</t>
  </si>
  <si>
    <t>Sent to Tv Subscription</t>
  </si>
  <si>
    <t>Sent to BW</t>
  </si>
  <si>
    <t>Sent to Jas</t>
  </si>
  <si>
    <t>Sent to Sss Government</t>
  </si>
  <si>
    <t>Sent to Nbi Gov't</t>
  </si>
  <si>
    <t>Sent to Nic</t>
  </si>
  <si>
    <t>Sent to Terra</t>
  </si>
  <si>
    <t>Sent to AU</t>
  </si>
  <si>
    <t>Sent to Fwd</t>
  </si>
  <si>
    <t>Sent to Rent Home</t>
  </si>
  <si>
    <t>Sent to Credit Card payment</t>
  </si>
  <si>
    <t>Sent to Lp Installment</t>
  </si>
  <si>
    <t>Sent to Health</t>
  </si>
  <si>
    <t>Sent to Personal Cash</t>
  </si>
  <si>
    <t>Sent to Crop</t>
  </si>
  <si>
    <t>Entity</t>
  </si>
  <si>
    <t>Macro_Category</t>
  </si>
  <si>
    <t>Fiscal_Quarter</t>
  </si>
  <si>
    <t>Month_Sort</t>
  </si>
  <si>
    <t>GLoan</t>
  </si>
  <si>
    <t>Sent to GLoan</t>
  </si>
  <si>
    <t>Subscription</t>
  </si>
  <si>
    <t>Kimio old number</t>
  </si>
  <si>
    <t>Kimio new number</t>
  </si>
  <si>
    <t>Lp</t>
  </si>
  <si>
    <t>Olop</t>
  </si>
  <si>
    <t>BuchioSmart</t>
  </si>
  <si>
    <t>Phone Utilities</t>
  </si>
  <si>
    <t>Carmenio</t>
  </si>
  <si>
    <t>NF</t>
  </si>
  <si>
    <t>M_Account</t>
  </si>
  <si>
    <t>CJMen</t>
  </si>
  <si>
    <t>Sent to M_Account</t>
  </si>
  <si>
    <t>Sent to Kimio old number</t>
  </si>
  <si>
    <t>Sent to BuchioSmart</t>
  </si>
  <si>
    <t>Sent to NF</t>
  </si>
  <si>
    <t>Sent to Kimio new number</t>
  </si>
  <si>
    <t>Sent to CJMen</t>
  </si>
  <si>
    <t>Sent to Carmenio</t>
  </si>
  <si>
    <t>Sent to Olop</t>
  </si>
  <si>
    <t>Transaction_Type</t>
  </si>
  <si>
    <t>Expense</t>
  </si>
  <si>
    <t>Income</t>
  </si>
  <si>
    <t>Miscellaneous</t>
  </si>
  <si>
    <t>Debit</t>
  </si>
  <si>
    <t>Credit</t>
  </si>
  <si>
    <t>Type</t>
  </si>
  <si>
    <t>Id</t>
  </si>
  <si>
    <t>Account_ID</t>
  </si>
  <si>
    <t>Transaction_Details</t>
  </si>
  <si>
    <t>9</t>
  </si>
  <si>
    <t>6</t>
  </si>
  <si>
    <t>7</t>
  </si>
  <si>
    <t>6115</t>
  </si>
  <si>
    <t>19</t>
  </si>
  <si>
    <t>20</t>
  </si>
  <si>
    <t>12</t>
  </si>
  <si>
    <t>17</t>
  </si>
  <si>
    <t>11</t>
  </si>
  <si>
    <t>18</t>
  </si>
  <si>
    <t>14</t>
  </si>
  <si>
    <t>2</t>
  </si>
  <si>
    <t>4</t>
  </si>
  <si>
    <t>3</t>
  </si>
  <si>
    <t>1</t>
  </si>
  <si>
    <t>8</t>
  </si>
  <si>
    <t>15</t>
  </si>
  <si>
    <t>16</t>
  </si>
  <si>
    <t>10</t>
  </si>
  <si>
    <t>5</t>
  </si>
  <si>
    <t>February</t>
  </si>
  <si>
    <t>Received from BU</t>
  </si>
  <si>
    <t>Received from CD</t>
  </si>
  <si>
    <t>Received from AX</t>
  </si>
  <si>
    <t>Received from BI</t>
  </si>
  <si>
    <t>Received from AV</t>
  </si>
  <si>
    <t>Received from BG</t>
  </si>
  <si>
    <t>Received from CA</t>
  </si>
  <si>
    <t>Received from Jas</t>
  </si>
  <si>
    <t>Received from BF</t>
  </si>
  <si>
    <t>Received from AQ</t>
  </si>
  <si>
    <t>Received from K.UB</t>
  </si>
  <si>
    <t>Received from BT</t>
  </si>
  <si>
    <t>Received from CJMen</t>
  </si>
  <si>
    <t>Received from AC</t>
  </si>
  <si>
    <t>Received from AH</t>
  </si>
  <si>
    <t>Received from AT</t>
  </si>
  <si>
    <t>Received from NF</t>
  </si>
  <si>
    <t>Received from Invest</t>
  </si>
  <si>
    <t>Received from AF</t>
  </si>
  <si>
    <t>Received from JM</t>
  </si>
  <si>
    <t>Received from CE</t>
  </si>
  <si>
    <t>Received from AS</t>
  </si>
  <si>
    <t>Received from DD</t>
  </si>
  <si>
    <t>Received from BV</t>
  </si>
  <si>
    <t>Received from AA</t>
  </si>
  <si>
    <t>Received from AG</t>
  </si>
  <si>
    <t>Received from Emergency</t>
  </si>
  <si>
    <t>Received from School</t>
  </si>
  <si>
    <t>Received from AE</t>
  </si>
  <si>
    <t>Received from Ethel</t>
  </si>
  <si>
    <t>Received from BR</t>
  </si>
  <si>
    <t>Received from AM</t>
  </si>
  <si>
    <t>Received from AL</t>
  </si>
  <si>
    <t>Received from CH</t>
  </si>
  <si>
    <t>Received from BN</t>
  </si>
  <si>
    <t>Received from CG</t>
  </si>
  <si>
    <t>Received from BM</t>
  </si>
  <si>
    <t>Received from AO</t>
  </si>
  <si>
    <t>Received from CB</t>
  </si>
  <si>
    <t>Received from BC</t>
  </si>
  <si>
    <t>Received from BY</t>
  </si>
  <si>
    <t>Received from BJ</t>
  </si>
  <si>
    <t>Received from M_Account</t>
  </si>
  <si>
    <t>Received from BH</t>
  </si>
  <si>
    <t>Received from BS</t>
  </si>
  <si>
    <t>Received from BQ</t>
  </si>
  <si>
    <t>Received from BO</t>
  </si>
  <si>
    <t>Received from AB</t>
  </si>
  <si>
    <t>Received from AI</t>
  </si>
  <si>
    <t>Received from BE</t>
  </si>
  <si>
    <t>Received from Cashin</t>
  </si>
  <si>
    <t>Received from CC</t>
  </si>
  <si>
    <t>Received from AN</t>
  </si>
  <si>
    <t>Received from AK</t>
  </si>
  <si>
    <t>Received from GLoan</t>
  </si>
  <si>
    <t>Received from AW</t>
  </si>
  <si>
    <t>Received from AJ</t>
  </si>
  <si>
    <t>Received from AZ</t>
  </si>
  <si>
    <t>Received from AY</t>
  </si>
  <si>
    <t>Received from BX</t>
  </si>
  <si>
    <t>Received from PJLInc</t>
  </si>
  <si>
    <t>Received from BL</t>
  </si>
  <si>
    <t>Received from BW</t>
  </si>
  <si>
    <t>Received from BP</t>
  </si>
  <si>
    <t>Received from AP</t>
  </si>
  <si>
    <t>Received from AD</t>
  </si>
  <si>
    <t>Received from BA</t>
  </si>
  <si>
    <t>Received from BK</t>
  </si>
  <si>
    <t>Row Labels</t>
  </si>
  <si>
    <t>Grand Total</t>
  </si>
  <si>
    <t>Jan</t>
  </si>
  <si>
    <t>Feb</t>
  </si>
  <si>
    <t>Mar</t>
  </si>
  <si>
    <t>Apr</t>
  </si>
  <si>
    <t>Jun</t>
  </si>
  <si>
    <t>Jul</t>
  </si>
  <si>
    <t>Aug</t>
  </si>
  <si>
    <t>Sep</t>
  </si>
  <si>
    <t>Oct</t>
  </si>
  <si>
    <t>Nov</t>
  </si>
  <si>
    <t>Dec</t>
  </si>
  <si>
    <t>True_Revenue</t>
  </si>
  <si>
    <t>All</t>
  </si>
  <si>
    <t>Sum of Amount</t>
  </si>
  <si>
    <t>Date Received (Month)</t>
  </si>
  <si>
    <t>Saving Rates</t>
  </si>
  <si>
    <t>Mapping Accuracy</t>
  </si>
  <si>
    <t>Revenue</t>
  </si>
  <si>
    <t>Net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</si>
</sst>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5" formatCode="&quot;₱&quot;#,##0;\-&quot;₱&quot;#,##0"/>
    <numFmt numFmtId="43" formatCode="_-* #,##0.00_-;\-* #,##0.00_-;_-* &quot;-&quot;??_-;_-@_-"/>
    <numFmt numFmtId="164" formatCode="0000"/>
    <numFmt numFmtId="165" formatCode="yyyy\-mm\-dd;@"/>
    <numFmt numFmtId="166" formatCode="&quot;₱&quot;#,##0.00"/>
    <numFmt numFmtId="167" formatCode="0.0%"/>
    <numFmt numFmtId="168" formatCode="&quot;₱&quot;#,##0;\-&quot;₱&quot;#,##0;&quot;₱&quot;#,##0"/>
  </numFmts>
  <fonts count="8" x14ac:knownFonts="1">
    <font>
      <sz val="11"/>
      <color theme="1"/>
      <name val="Calibri"/>
      <family val="2"/>
      <scheme val="minor"/>
    </font>
    <font>
      <sz val="8"/>
      <name val="Calibri"/>
      <family val="2"/>
      <scheme val="minor"/>
    </font>
    <font>
      <b/>
      <sz val="11"/>
      <color theme="1"/>
      <name val="Calibri"/>
      <family val="2"/>
      <scheme val="minor"/>
    </font>
    <font>
      <b/>
      <sz val="11"/>
      <color rgb="FF1F1F1F"/>
      <name val="Calibri"/>
      <family val="2"/>
      <scheme val="minor"/>
    </font>
    <font>
      <b/>
      <sz val="9"/>
      <color indexed="81"/>
      <name val="Tahoma"/>
      <family val="2"/>
    </font>
    <font>
      <sz val="9"/>
      <color indexed="81"/>
      <name val="Tahoma"/>
      <family val="2"/>
    </font>
    <font>
      <sz val="11"/>
      <color theme="1"/>
      <name val="Calibri"/>
      <family val="2"/>
      <scheme val="minor"/>
    </font>
    <font>
      <sz val="11"/>
      <color rgb="FF1E1E26"/>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1E1E26"/>
        <bgColor indexed="64"/>
      </patternFill>
    </fill>
  </fills>
  <borders count="6">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6" fillId="0" borderId="0" applyFont="0" applyFill="0" applyBorder="0" applyAlignment="0" applyProtection="0"/>
    <xf numFmtId="9" fontId="6" fillId="0" borderId="0" applyFont="0" applyFill="0" applyBorder="0" applyAlignment="0" applyProtection="0"/>
  </cellStyleXfs>
  <cellXfs count="38">
    <xf numFmtId="0" fontId="0" fillId="0" borderId="0" xfId="0"/>
    <xf numFmtId="164" fontId="3" fillId="0" borderId="0" xfId="0" applyNumberFormat="1" applyFont="1" applyAlignment="1">
      <alignment horizontal="left" vertical="center" wrapText="1" readingOrder="1"/>
    </xf>
    <xf numFmtId="0" fontId="3" fillId="0" borderId="0" xfId="0" applyFont="1" applyAlignment="1">
      <alignment horizontal="left" vertical="center" wrapText="1" readingOrder="1"/>
    </xf>
    <xf numFmtId="164" fontId="2" fillId="0" borderId="0" xfId="0" applyNumberFormat="1" applyFont="1" applyAlignment="1">
      <alignment horizontal="left" vertical="center" wrapText="1"/>
    </xf>
    <xf numFmtId="0" fontId="2" fillId="0" borderId="0" xfId="0" applyFont="1" applyAlignment="1">
      <alignment horizontal="left" vertical="center" wrapText="1"/>
    </xf>
    <xf numFmtId="164" fontId="2" fillId="0" borderId="0" xfId="0" applyNumberFormat="1" applyFont="1" applyAlignment="1">
      <alignment horizontal="left"/>
    </xf>
    <xf numFmtId="164" fontId="2" fillId="0" borderId="0" xfId="0" applyNumberFormat="1" applyFont="1" applyAlignment="1">
      <alignment horizontal="left" wrapText="1"/>
    </xf>
    <xf numFmtId="164" fontId="2" fillId="0" borderId="0" xfId="0" applyNumberFormat="1" applyFont="1" applyAlignment="1">
      <alignment horizontal="left" vertical="top" wrapText="1"/>
    </xf>
    <xf numFmtId="165" fontId="0" fillId="0" borderId="0" xfId="0" applyNumberFormat="1"/>
    <xf numFmtId="165" fontId="0" fillId="2" borderId="1" xfId="0" applyNumberFormat="1" applyFill="1" applyBorder="1" applyAlignment="1">
      <alignment vertical="center"/>
    </xf>
    <xf numFmtId="0" fontId="0" fillId="2" borderId="2" xfId="0" applyFill="1" applyBorder="1"/>
    <xf numFmtId="49" fontId="0" fillId="2" borderId="2" xfId="0" applyNumberFormat="1" applyFill="1" applyBorder="1" applyAlignment="1">
      <alignment horizontal="center" wrapText="1"/>
    </xf>
    <xf numFmtId="0" fontId="0" fillId="2" borderId="2" xfId="0" applyFill="1" applyBorder="1" applyAlignment="1">
      <alignment horizontal="center" vertical="center"/>
    </xf>
    <xf numFmtId="166" fontId="0" fillId="2" borderId="2" xfId="0" applyNumberFormat="1" applyFill="1" applyBorder="1"/>
    <xf numFmtId="166" fontId="0" fillId="2" borderId="2" xfId="0" applyNumberFormat="1" applyFill="1" applyBorder="1" applyAlignment="1">
      <alignment horizontal="right"/>
    </xf>
    <xf numFmtId="0" fontId="0" fillId="2" borderId="3" xfId="0" applyFill="1" applyBorder="1"/>
    <xf numFmtId="49" fontId="0" fillId="2" borderId="3" xfId="0" applyNumberFormat="1" applyFill="1" applyBorder="1" applyAlignment="1">
      <alignment horizontal="center" wrapText="1"/>
    </xf>
    <xf numFmtId="166" fontId="0" fillId="2" borderId="3" xfId="0" applyNumberFormat="1" applyFill="1" applyBorder="1"/>
    <xf numFmtId="0" fontId="2" fillId="0" borderId="0" xfId="0" applyFont="1"/>
    <xf numFmtId="165" fontId="0" fillId="2" borderId="4" xfId="0" applyNumberFormat="1" applyFill="1" applyBorder="1" applyAlignment="1">
      <alignment vertical="center"/>
    </xf>
    <xf numFmtId="166" fontId="0" fillId="0" borderId="0" xfId="0" applyNumberFormat="1"/>
    <xf numFmtId="0" fontId="0" fillId="0" borderId="0" xfId="0" pivotButton="1"/>
    <xf numFmtId="0" fontId="0" fillId="0" borderId="0" xfId="0" applyAlignment="1">
      <alignment horizontal="left"/>
    </xf>
    <xf numFmtId="0" fontId="0" fillId="2" borderId="2" xfId="0" applyFill="1" applyBorder="1" applyAlignment="1">
      <alignment horizontal="center" wrapText="1"/>
    </xf>
    <xf numFmtId="5" fontId="0" fillId="0" borderId="0" xfId="0" applyNumberFormat="1"/>
    <xf numFmtId="0" fontId="0" fillId="0" borderId="0" xfId="0" applyAlignment="1">
      <alignment horizontal="left" indent="1"/>
    </xf>
    <xf numFmtId="0" fontId="2" fillId="0" borderId="5" xfId="0" applyFont="1" applyBorder="1" applyAlignment="1">
      <alignment horizontal="left"/>
    </xf>
    <xf numFmtId="166" fontId="0" fillId="0" borderId="5" xfId="0" applyNumberFormat="1" applyBorder="1"/>
    <xf numFmtId="10" fontId="0" fillId="0" borderId="0" xfId="0" applyNumberFormat="1"/>
    <xf numFmtId="0" fontId="0" fillId="3" borderId="0" xfId="0" applyFill="1"/>
    <xf numFmtId="167" fontId="0" fillId="0" borderId="0" xfId="0" applyNumberFormat="1"/>
    <xf numFmtId="167" fontId="0" fillId="0" borderId="0" xfId="2" applyNumberFormat="1" applyFont="1"/>
    <xf numFmtId="10" fontId="0" fillId="0" borderId="0" xfId="2" applyNumberFormat="1" applyFont="1"/>
    <xf numFmtId="43" fontId="0" fillId="3" borderId="0" xfId="1" applyFont="1" applyFill="1"/>
    <xf numFmtId="10" fontId="2" fillId="3" borderId="0" xfId="0" applyNumberFormat="1" applyFont="1" applyFill="1"/>
    <xf numFmtId="167" fontId="7" fillId="3" borderId="0" xfId="2" applyNumberFormat="1" applyFont="1" applyFill="1"/>
    <xf numFmtId="168" fontId="0" fillId="0" borderId="0" xfId="0" applyNumberFormat="1"/>
    <xf numFmtId="0" fontId="0" fillId="0" borderId="0" xfId="0" applyNumberFormat="1"/>
  </cellXfs>
  <cellStyles count="3">
    <cellStyle name="Comma" xfId="1" builtinId="3"/>
    <cellStyle name="Normal" xfId="0" builtinId="0"/>
    <cellStyle name="Percent" xfId="2" builtinId="5"/>
  </cellStyles>
  <dxfs count="50">
    <dxf>
      <font>
        <color rgb="FF9C0006"/>
      </font>
      <fill>
        <patternFill>
          <bgColor rgb="FFFFC7CE"/>
        </patternFill>
      </fill>
    </dxf>
    <dxf>
      <numFmt numFmtId="166" formatCode="&quot;₱&quot;#,##0.00"/>
    </dxf>
    <dxf>
      <numFmt numFmtId="166" formatCode="&quot;₱&quot;#,##0.00"/>
    </dxf>
    <dxf>
      <numFmt numFmtId="167" formatCode="0.0%"/>
    </dxf>
    <dxf>
      <numFmt numFmtId="14" formatCode="0.00%"/>
    </dxf>
    <dxf>
      <numFmt numFmtId="14" formatCode="0.00%"/>
    </dxf>
    <dxf>
      <numFmt numFmtId="166" formatCode="&quot;₱&quot;#,##0.00"/>
    </dxf>
    <dxf>
      <numFmt numFmtId="166" formatCode="&quot;₱&quot;#,##0.00"/>
    </dxf>
    <dxf>
      <numFmt numFmtId="167" formatCode="0.0%"/>
    </dxf>
    <dxf>
      <numFmt numFmtId="14" formatCode="0.00%"/>
    </dxf>
    <dxf>
      <numFmt numFmtId="14" formatCode="0.00%"/>
    </dxf>
    <dxf>
      <numFmt numFmtId="166" formatCode="&quot;₱&quot;#,##0.00"/>
    </dxf>
    <dxf>
      <numFmt numFmtId="166" formatCode="&quot;₱&quot;#,##0.00"/>
    </dxf>
    <dxf>
      <numFmt numFmtId="167" formatCode="0.0%"/>
    </dxf>
    <dxf>
      <numFmt numFmtId="14" formatCode="0.00%"/>
    </dxf>
    <dxf>
      <numFmt numFmtId="14" formatCode="0.00%"/>
    </dxf>
    <dxf>
      <numFmt numFmtId="166" formatCode="&quot;₱&quot;#,##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30" formatCode="@"/>
      <fill>
        <patternFill patternType="solid">
          <fgColor theme="4" tint="0.79998168889431442"/>
          <bgColor theme="4" tint="0.79998168889431442"/>
        </patternFill>
      </fill>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165" formatCode="yyyy\-mm\-dd;@"/>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numFmt numFmtId="164" formatCode="0000"/>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numFmt numFmtId="164" formatCode="0000"/>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numFmt numFmtId="164" formatCode="0000"/>
      <alignment horizontal="left" vertical="center" textRotation="0" wrapText="1" indent="0" justifyLastLine="0" shrinkToFit="0" readingOrder="0"/>
    </dxf>
    <dxf>
      <numFmt numFmtId="14" formatCode="0.00%"/>
    </dxf>
    <dxf>
      <numFmt numFmtId="14" formatCode="0.00%"/>
    </dxf>
    <dxf>
      <numFmt numFmtId="166" formatCode="&quot;₱&quot;#,##0.00"/>
    </dxf>
    <dxf>
      <numFmt numFmtId="166" formatCode="&quot;₱&quot;#,##0.00"/>
    </dxf>
    <dxf>
      <numFmt numFmtId="167" formatCode="0.0%"/>
    </dxf>
    <dxf>
      <numFmt numFmtId="0" formatCode="General"/>
    </dxf>
    <dxf>
      <numFmt numFmtId="0" formatCode="General"/>
    </dxf>
    <dxf>
      <numFmt numFmtId="166" formatCode="&quot;₱&quot;#,##0.00"/>
    </dxf>
    <dxf>
      <numFmt numFmtId="0" formatCode="General"/>
    </dxf>
    <dxf>
      <numFmt numFmtId="0" formatCode="General"/>
    </dxf>
    <dxf>
      <numFmt numFmtId="166" formatCode="&quot;₱&quot;#,##0.00"/>
    </dxf>
    <dxf>
      <numFmt numFmtId="0" formatCode="General"/>
    </dxf>
    <dxf>
      <numFmt numFmtId="0" formatCode="General"/>
    </dxf>
    <dxf>
      <numFmt numFmtId="165" formatCode="yyyy\-mm\-dd;@"/>
    </dxf>
    <dxf>
      <font>
        <b/>
        <i val="0"/>
        <sz val="14"/>
        <color theme="4"/>
      </font>
      <fill>
        <patternFill patternType="none">
          <fgColor indexed="64"/>
          <bgColor auto="1"/>
        </patternFill>
      </fill>
      <border diagonalUp="0" diagonalDown="0">
        <left/>
        <right/>
        <top/>
        <bottom/>
        <vertical/>
        <horizontal/>
      </border>
    </dxf>
    <dxf>
      <fill>
        <patternFill>
          <bgColor theme="1" tint="0.14996795556505021"/>
        </patternFill>
      </fill>
    </dxf>
    <dxf>
      <border diagonalUp="0" diagonalDown="0">
        <left/>
        <right/>
        <top/>
        <bottom/>
        <vertical/>
        <horizontal style="thin">
          <color auto="1"/>
        </horizontal>
      </border>
    </dxf>
    <dxf>
      <fill>
        <patternFill>
          <bgColor theme="1"/>
        </patternFill>
      </fill>
    </dxf>
    <dxf>
      <font>
        <b/>
        <color theme="1"/>
      </font>
      <border>
        <bottom style="thin">
          <color theme="6"/>
        </bottom>
        <vertical/>
        <horizontal/>
      </border>
    </dxf>
    <dxf>
      <font>
        <b/>
        <i val="0"/>
        <sz val="14"/>
        <color theme="1"/>
      </font>
      <border>
        <left style="thin">
          <color theme="6"/>
        </left>
        <right style="thin">
          <color theme="6"/>
        </right>
        <top style="thin">
          <color theme="6"/>
        </top>
        <bottom style="thin">
          <color theme="6"/>
        </bottom>
        <vertical/>
        <horizontal/>
      </border>
    </dxf>
  </dxfs>
  <tableStyles count="5" defaultTableStyle="TableStyleMedium2" defaultPivotStyle="PivotStyleLight16">
    <tableStyle name="Bigtextslicer" pivot="0" table="0" count="10" xr9:uid="{B8DD141D-8047-4B0B-A47B-9DD52EDC5092}">
      <tableStyleElement type="wholeTable" dxfId="49"/>
      <tableStyleElement type="headerRow" dxfId="48"/>
    </tableStyle>
    <tableStyle name="Slicer Style 1" pivot="0" table="0" count="1" xr9:uid="{2D779A5D-9181-4CE0-8D15-97861C26474E}">
      <tableStyleElement type="wholeTable" dxfId="47"/>
    </tableStyle>
    <tableStyle name="Slicer Style 2" pivot="0" table="0" count="1" xr9:uid="{998C8B92-D1B5-4989-8463-5E1FA12A5074}">
      <tableStyleElement type="wholeTable" dxfId="46"/>
    </tableStyle>
    <tableStyle name="Slicer Style 3" pivot="0" table="0" count="1" xr9:uid="{F09DE556-4CE8-4459-B710-3DAAA7DD1A5C}">
      <tableStyleElement type="wholeTable" dxfId="45"/>
    </tableStyle>
    <tableStyle name="Slicer Style 4" pivot="0" table="0" count="1" xr9:uid="{4B53B5E7-53F5-423C-BDC3-79A7A79E4568}">
      <tableStyleElement type="wholeTable" dxfId="44"/>
    </tableStyle>
  </tableStyles>
  <colors>
    <mruColors>
      <color rgb="FF1E1E26"/>
      <color rgb="FFFDFDFD"/>
      <color rgb="FF3498DB"/>
      <color rgb="FF2ECC71"/>
      <color rgb="FFFFC107"/>
      <color rgb="FFFFB6B3"/>
      <color rgb="FF50C878"/>
      <color rgb="FFFFFFFF"/>
      <color rgb="FF2D2D3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Bigtext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sharedStrings" Target="sharedStrings.xml"/><Relationship Id="rId26" Type="http://schemas.openxmlformats.org/officeDocument/2006/relationships/customXml" Target="../customXml/item4.xml"/><Relationship Id="rId39" Type="http://schemas.openxmlformats.org/officeDocument/2006/relationships/customXml" Target="../customXml/item17.xml"/><Relationship Id="rId21" Type="http://schemas.microsoft.com/office/2017/10/relationships/person" Target="persons/person.xml"/><Relationship Id="rId34" Type="http://schemas.openxmlformats.org/officeDocument/2006/relationships/customXml" Target="../customXml/item12.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styles" Target="style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5.xml"/><Relationship Id="rId19" Type="http://schemas.openxmlformats.org/officeDocument/2006/relationships/sheetMetadata" Target="metadata.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 Transformation Project 2025.xlsx]Calcs!TrueRevenue_vs_TrueExpense</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PH"/>
              <a:t>Cash Flow</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solidFill>
            <a:srgbClr val="50C878"/>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B6B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rgbClr val="FFC107"/>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Calcs!$B$3</c:f>
              <c:strCache>
                <c:ptCount val="1"/>
                <c:pt idx="0">
                  <c:v>Revenue</c:v>
                </c:pt>
              </c:strCache>
            </c:strRef>
          </c:tx>
          <c:spPr>
            <a:solidFill>
              <a:srgbClr val="50C878"/>
            </a:solidFill>
            <a:ln>
              <a:noFill/>
            </a:ln>
            <a:effectLst>
              <a:outerShdw blurRad="57150" dist="19050" dir="5400000" algn="ctr" rotWithShape="0">
                <a:srgbClr val="000000">
                  <a:alpha val="63000"/>
                </a:srgbClr>
              </a:outerShdw>
            </a:effectLst>
          </c:spPr>
          <c:invertIfNegative val="0"/>
          <c:cat>
            <c:strRef>
              <c:f>Calcs!$A$4:$A$16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Calcs!$B$4:$B$16</c:f>
              <c:numCache>
                <c:formatCode>"₱"#,##0_);\("₱"#,##0\)</c:formatCode>
                <c:ptCount val="12"/>
                <c:pt idx="0">
                  <c:v>56635</c:v>
                </c:pt>
                <c:pt idx="1">
                  <c:v>65231</c:v>
                </c:pt>
                <c:pt idx="2">
                  <c:v>78601</c:v>
                </c:pt>
                <c:pt idx="3">
                  <c:v>63142</c:v>
                </c:pt>
                <c:pt idx="4">
                  <c:v>76602</c:v>
                </c:pt>
                <c:pt idx="5">
                  <c:v>112292</c:v>
                </c:pt>
                <c:pt idx="6">
                  <c:v>71581</c:v>
                </c:pt>
                <c:pt idx="7">
                  <c:v>58312</c:v>
                </c:pt>
                <c:pt idx="8">
                  <c:v>54362</c:v>
                </c:pt>
                <c:pt idx="9">
                  <c:v>74732</c:v>
                </c:pt>
                <c:pt idx="10">
                  <c:v>78499.8</c:v>
                </c:pt>
                <c:pt idx="11">
                  <c:v>44321</c:v>
                </c:pt>
              </c:numCache>
            </c:numRef>
          </c:val>
          <c:extLst>
            <c:ext xmlns:c16="http://schemas.microsoft.com/office/drawing/2014/chart" uri="{C3380CC4-5D6E-409C-BE32-E72D297353CC}">
              <c16:uniqueId val="{00000000-3C1C-4D6D-B5F4-ADCDFE7EDA47}"/>
            </c:ext>
          </c:extLst>
        </c:ser>
        <c:ser>
          <c:idx val="1"/>
          <c:order val="1"/>
          <c:tx>
            <c:strRef>
              <c:f>Calcs!$C$3</c:f>
              <c:strCache>
                <c:ptCount val="1"/>
                <c:pt idx="0">
                  <c:v>Expense</c:v>
                </c:pt>
              </c:strCache>
            </c:strRef>
          </c:tx>
          <c:spPr>
            <a:solidFill>
              <a:srgbClr val="FFB6B3"/>
            </a:solidFill>
            <a:ln>
              <a:noFill/>
            </a:ln>
            <a:effectLst>
              <a:outerShdw blurRad="57150" dist="19050" dir="5400000" algn="ctr" rotWithShape="0">
                <a:srgbClr val="000000">
                  <a:alpha val="63000"/>
                </a:srgbClr>
              </a:outerShdw>
            </a:effectLst>
          </c:spPr>
          <c:invertIfNegative val="0"/>
          <c:cat>
            <c:strRef>
              <c:f>Calcs!$A$4:$A$16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Calcs!$C$4:$C$16</c:f>
              <c:numCache>
                <c:formatCode>"₱"#,##0_);\("₱"#,##0\)</c:formatCode>
                <c:ptCount val="12"/>
                <c:pt idx="0">
                  <c:v>93742.09</c:v>
                </c:pt>
                <c:pt idx="1">
                  <c:v>47727.67</c:v>
                </c:pt>
                <c:pt idx="2">
                  <c:v>70306.539999999994</c:v>
                </c:pt>
                <c:pt idx="3">
                  <c:v>58605.71</c:v>
                </c:pt>
                <c:pt idx="4">
                  <c:v>75457.960000000006</c:v>
                </c:pt>
                <c:pt idx="5">
                  <c:v>68281.83</c:v>
                </c:pt>
                <c:pt idx="6">
                  <c:v>56672.21</c:v>
                </c:pt>
                <c:pt idx="7">
                  <c:v>60561.01</c:v>
                </c:pt>
                <c:pt idx="8">
                  <c:v>58051.46</c:v>
                </c:pt>
                <c:pt idx="9">
                  <c:v>62669.81</c:v>
                </c:pt>
                <c:pt idx="10">
                  <c:v>63376.39</c:v>
                </c:pt>
                <c:pt idx="11">
                  <c:v>57327.68</c:v>
                </c:pt>
              </c:numCache>
            </c:numRef>
          </c:val>
          <c:extLst>
            <c:ext xmlns:c16="http://schemas.microsoft.com/office/drawing/2014/chart" uri="{C3380CC4-5D6E-409C-BE32-E72D297353CC}">
              <c16:uniqueId val="{00000001-3C1C-4D6D-B5F4-ADCDFE7EDA47}"/>
            </c:ext>
          </c:extLst>
        </c:ser>
        <c:dLbls>
          <c:showLegendKey val="0"/>
          <c:showVal val="0"/>
          <c:showCatName val="0"/>
          <c:showSerName val="0"/>
          <c:showPercent val="0"/>
          <c:showBubbleSize val="0"/>
        </c:dLbls>
        <c:gapWidth val="150"/>
        <c:axId val="268936031"/>
        <c:axId val="268932671"/>
      </c:barChart>
      <c:lineChart>
        <c:grouping val="stacked"/>
        <c:varyColors val="0"/>
        <c:ser>
          <c:idx val="2"/>
          <c:order val="2"/>
          <c:tx>
            <c:strRef>
              <c:f>Calcs!$D$3</c:f>
              <c:strCache>
                <c:ptCount val="1"/>
                <c:pt idx="0">
                  <c:v>Net Profit</c:v>
                </c:pt>
              </c:strCache>
            </c:strRef>
          </c:tx>
          <c:spPr>
            <a:ln w="34925" cap="rnd">
              <a:solidFill>
                <a:srgbClr val="FFC107"/>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3"/>
                </a:solidFill>
                <a:round/>
              </a:ln>
              <a:effectLst>
                <a:outerShdw blurRad="57150" dist="19050" dir="5400000" algn="ctr" rotWithShape="0">
                  <a:srgbClr val="000000">
                    <a:alpha val="63000"/>
                  </a:srgbClr>
                </a:outerShdw>
              </a:effectLst>
            </c:spPr>
          </c:marker>
          <c:cat>
            <c:strRef>
              <c:f>Calcs!$A$4:$A$16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Calcs!$D$4:$D$16</c:f>
              <c:numCache>
                <c:formatCode>"₱"#,##0_);\("₱"#,##0\)</c:formatCode>
                <c:ptCount val="12"/>
                <c:pt idx="0">
                  <c:v>-37107.089999999997</c:v>
                </c:pt>
                <c:pt idx="1">
                  <c:v>17503.330000000002</c:v>
                </c:pt>
                <c:pt idx="2">
                  <c:v>8294.4600000000064</c:v>
                </c:pt>
                <c:pt idx="3">
                  <c:v>4536.2900000000009</c:v>
                </c:pt>
                <c:pt idx="4">
                  <c:v>1144.0399999999936</c:v>
                </c:pt>
                <c:pt idx="5">
                  <c:v>44010.17</c:v>
                </c:pt>
                <c:pt idx="6">
                  <c:v>14908.79</c:v>
                </c:pt>
                <c:pt idx="7">
                  <c:v>-2249.010000000002</c:v>
                </c:pt>
                <c:pt idx="8">
                  <c:v>-3689.4599999999991</c:v>
                </c:pt>
                <c:pt idx="9">
                  <c:v>12062.190000000002</c:v>
                </c:pt>
                <c:pt idx="10">
                  <c:v>15123.410000000003</c:v>
                </c:pt>
                <c:pt idx="11">
                  <c:v>-13006.68</c:v>
                </c:pt>
              </c:numCache>
            </c:numRef>
          </c:val>
          <c:smooth val="0"/>
          <c:extLst>
            <c:ext xmlns:c16="http://schemas.microsoft.com/office/drawing/2014/chart" uri="{C3380CC4-5D6E-409C-BE32-E72D297353CC}">
              <c16:uniqueId val="{00000002-3C1C-4D6D-B5F4-ADCDFE7EDA47}"/>
            </c:ext>
          </c:extLst>
        </c:ser>
        <c:dLbls>
          <c:showLegendKey val="0"/>
          <c:showVal val="0"/>
          <c:showCatName val="0"/>
          <c:showSerName val="0"/>
          <c:showPercent val="0"/>
          <c:showBubbleSize val="0"/>
        </c:dLbls>
        <c:marker val="1"/>
        <c:smooth val="0"/>
        <c:axId val="268936031"/>
        <c:axId val="268932671"/>
      </c:lineChart>
      <c:catAx>
        <c:axId val="2689360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8932671"/>
        <c:crosses val="autoZero"/>
        <c:auto val="1"/>
        <c:lblAlgn val="ctr"/>
        <c:lblOffset val="100"/>
        <c:noMultiLvlLbl val="0"/>
      </c:catAx>
      <c:valAx>
        <c:axId val="268932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8936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1E1E2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 Transformation Project 2025.xlsx]Calcs!Unreconciled</c:name>
    <c:fmtId val="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ETL Pipeline: Unreconciled Volume (Audit)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10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Calcs!$B$30</c:f>
              <c:strCache>
                <c:ptCount val="1"/>
                <c:pt idx="0">
                  <c:v>Total</c:v>
                </c:pt>
              </c:strCache>
            </c:strRef>
          </c:tx>
          <c:spPr>
            <a:solidFill>
              <a:srgbClr val="FFC107"/>
            </a:solidFill>
            <a:ln>
              <a:noFill/>
            </a:ln>
            <a:effectLst/>
          </c:spPr>
          <c:invertIfNegative val="0"/>
          <c:cat>
            <c:multiLvlStrRef>
              <c:f>Calcs!$A$31:$A$42</c:f>
              <c:multiLvlStrCache>
                <c:ptCount val="10"/>
                <c:lvl>
                  <c:pt idx="0">
                    <c:v>Jan</c:v>
                  </c:pt>
                  <c:pt idx="1">
                    <c:v>Feb</c:v>
                  </c:pt>
                  <c:pt idx="2">
                    <c:v>Mar</c:v>
                  </c:pt>
                  <c:pt idx="3">
                    <c:v>Apr</c:v>
                  </c:pt>
                  <c:pt idx="4">
                    <c:v>May</c:v>
                  </c:pt>
                  <c:pt idx="5">
                    <c:v>Jun</c:v>
                  </c:pt>
                  <c:pt idx="6">
                    <c:v>Jul</c:v>
                  </c:pt>
                  <c:pt idx="7">
                    <c:v>Aug</c:v>
                  </c:pt>
                  <c:pt idx="8">
                    <c:v>Oct</c:v>
                  </c:pt>
                  <c:pt idx="9">
                    <c:v>Nov</c:v>
                  </c:pt>
                </c:lvl>
                <c:lvl>
                  <c:pt idx="0">
                    <c:v>Unreconciled</c:v>
                  </c:pt>
                </c:lvl>
              </c:multiLvlStrCache>
            </c:multiLvlStrRef>
          </c:cat>
          <c:val>
            <c:numRef>
              <c:f>Calcs!$B$31:$B$42</c:f>
              <c:numCache>
                <c:formatCode>"₱"#,##0.00</c:formatCode>
                <c:ptCount val="10"/>
                <c:pt idx="0">
                  <c:v>700</c:v>
                </c:pt>
                <c:pt idx="1">
                  <c:v>3305</c:v>
                </c:pt>
                <c:pt idx="2">
                  <c:v>14702</c:v>
                </c:pt>
                <c:pt idx="3">
                  <c:v>8210.19</c:v>
                </c:pt>
                <c:pt idx="4">
                  <c:v>8910</c:v>
                </c:pt>
                <c:pt idx="5">
                  <c:v>10715</c:v>
                </c:pt>
                <c:pt idx="6">
                  <c:v>43370</c:v>
                </c:pt>
                <c:pt idx="7">
                  <c:v>6000</c:v>
                </c:pt>
                <c:pt idx="8">
                  <c:v>910</c:v>
                </c:pt>
                <c:pt idx="9">
                  <c:v>3760</c:v>
                </c:pt>
              </c:numCache>
            </c:numRef>
          </c:val>
          <c:extLst>
            <c:ext xmlns:c16="http://schemas.microsoft.com/office/drawing/2014/chart" uri="{C3380CC4-5D6E-409C-BE32-E72D297353CC}">
              <c16:uniqueId val="{00000005-B789-4D01-867F-B8C0C01387E6}"/>
            </c:ext>
          </c:extLst>
        </c:ser>
        <c:dLbls>
          <c:showLegendKey val="0"/>
          <c:showVal val="0"/>
          <c:showCatName val="0"/>
          <c:showSerName val="0"/>
          <c:showPercent val="0"/>
          <c:showBubbleSize val="0"/>
        </c:dLbls>
        <c:gapWidth val="182"/>
        <c:axId val="1931547167"/>
        <c:axId val="1931547647"/>
      </c:barChart>
      <c:catAx>
        <c:axId val="19315471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DFDFD"/>
                </a:solidFill>
                <a:latin typeface="+mn-lt"/>
                <a:ea typeface="+mn-ea"/>
                <a:cs typeface="+mn-cs"/>
              </a:defRPr>
            </a:pPr>
            <a:endParaRPr lang="en-US"/>
          </a:p>
        </c:txPr>
        <c:crossAx val="1931547647"/>
        <c:crosses val="autoZero"/>
        <c:auto val="1"/>
        <c:lblAlgn val="ctr"/>
        <c:lblOffset val="100"/>
        <c:noMultiLvlLbl val="0"/>
      </c:catAx>
      <c:valAx>
        <c:axId val="193154764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spPr>
          <a:noFill/>
          <a:ln>
            <a:noFill/>
          </a:ln>
          <a:effectLst/>
        </c:spPr>
        <c:txPr>
          <a:bodyPr rot="-720000" spcFirstLastPara="1" vertOverflow="ellipsis" wrap="square" anchor="ctr" anchorCtr="1"/>
          <a:lstStyle/>
          <a:p>
            <a:pPr>
              <a:defRPr sz="900" b="0" i="0" u="none" strike="noStrike" kern="1200" baseline="0">
                <a:solidFill>
                  <a:srgbClr val="FDFDFD"/>
                </a:solidFill>
                <a:latin typeface="+mn-lt"/>
                <a:ea typeface="+mn-ea"/>
                <a:cs typeface="+mn-cs"/>
              </a:defRPr>
            </a:pPr>
            <a:endParaRPr lang="en-US"/>
          </a:p>
        </c:txPr>
        <c:crossAx val="1931547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1E1E2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 Transformation Project 2025.xlsx]Calcs!Top10EntityInflow</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Top Inflow</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Calcs!$E$23</c:f>
              <c:strCache>
                <c:ptCount val="1"/>
                <c:pt idx="0">
                  <c:v>Total</c:v>
                </c:pt>
              </c:strCache>
            </c:strRef>
          </c:tx>
          <c:spPr>
            <a:solidFill>
              <a:srgbClr val="00B050"/>
            </a:solidFill>
            <a:ln>
              <a:noFill/>
            </a:ln>
            <a:effectLst/>
          </c:spPr>
          <c:invertIfNegative val="0"/>
          <c:cat>
            <c:strRef>
              <c:f>Calcs!$D$24:$D$34</c:f>
              <c:strCache>
                <c:ptCount val="10"/>
                <c:pt idx="0">
                  <c:v>AJ</c:v>
                </c:pt>
                <c:pt idx="1">
                  <c:v>AQ</c:v>
                </c:pt>
                <c:pt idx="2">
                  <c:v>AX</c:v>
                </c:pt>
                <c:pt idx="3">
                  <c:v>BP</c:v>
                </c:pt>
                <c:pt idx="4">
                  <c:v>BY</c:v>
                </c:pt>
                <c:pt idx="5">
                  <c:v>CJMen</c:v>
                </c:pt>
                <c:pt idx="6">
                  <c:v>DD</c:v>
                </c:pt>
                <c:pt idx="7">
                  <c:v>Jas</c:v>
                </c:pt>
                <c:pt idx="8">
                  <c:v>K.UB</c:v>
                </c:pt>
                <c:pt idx="9">
                  <c:v>NF</c:v>
                </c:pt>
              </c:strCache>
            </c:strRef>
          </c:cat>
          <c:val>
            <c:numRef>
              <c:f>Calcs!$E$24:$E$34</c:f>
              <c:numCache>
                <c:formatCode>General</c:formatCode>
                <c:ptCount val="10"/>
                <c:pt idx="0">
                  <c:v>16500</c:v>
                </c:pt>
                <c:pt idx="1">
                  <c:v>25000</c:v>
                </c:pt>
                <c:pt idx="2">
                  <c:v>34200</c:v>
                </c:pt>
                <c:pt idx="3">
                  <c:v>12000</c:v>
                </c:pt>
                <c:pt idx="4">
                  <c:v>19800</c:v>
                </c:pt>
                <c:pt idx="5">
                  <c:v>63000</c:v>
                </c:pt>
                <c:pt idx="6">
                  <c:v>28000</c:v>
                </c:pt>
                <c:pt idx="7">
                  <c:v>75600</c:v>
                </c:pt>
                <c:pt idx="8">
                  <c:v>141000</c:v>
                </c:pt>
                <c:pt idx="9">
                  <c:v>23860</c:v>
                </c:pt>
              </c:numCache>
            </c:numRef>
          </c:val>
          <c:extLst>
            <c:ext xmlns:c16="http://schemas.microsoft.com/office/drawing/2014/chart" uri="{C3380CC4-5D6E-409C-BE32-E72D297353CC}">
              <c16:uniqueId val="{00000000-5C15-4BBB-8421-DE4261E5C4C2}"/>
            </c:ext>
          </c:extLst>
        </c:ser>
        <c:dLbls>
          <c:showLegendKey val="0"/>
          <c:showVal val="0"/>
          <c:showCatName val="0"/>
          <c:showSerName val="0"/>
          <c:showPercent val="0"/>
          <c:showBubbleSize val="0"/>
        </c:dLbls>
        <c:gapWidth val="219"/>
        <c:overlap val="-27"/>
        <c:axId val="812801327"/>
        <c:axId val="1852104767"/>
      </c:barChart>
      <c:catAx>
        <c:axId val="81280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050" b="1" i="0" u="none" strike="noStrike" kern="1200" baseline="0">
                <a:solidFill>
                  <a:schemeClr val="bg1"/>
                </a:solidFill>
                <a:latin typeface="+mn-lt"/>
                <a:ea typeface="+mn-ea"/>
                <a:cs typeface="+mn-cs"/>
              </a:defRPr>
            </a:pPr>
            <a:endParaRPr lang="en-US"/>
          </a:p>
        </c:txPr>
        <c:crossAx val="1852104767"/>
        <c:crosses val="autoZero"/>
        <c:auto val="1"/>
        <c:lblAlgn val="ctr"/>
        <c:lblOffset val="100"/>
        <c:noMultiLvlLbl val="0"/>
      </c:catAx>
      <c:valAx>
        <c:axId val="18521047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2801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size">
        <cx:f dir="row">_xlchart.v1.1</cx:f>
      </cx:numDim>
    </cx:data>
  </cx:chartData>
  <cx:chart>
    <cx:title pos="t" align="ctr" overlay="0">
      <cx:tx>
        <cx:rich>
          <a:bodyPr spcFirstLastPara="1" vertOverflow="ellipsis" horzOverflow="overflow" wrap="square" lIns="0" tIns="0" rIns="0" bIns="0" anchor="ctr" anchorCtr="1"/>
          <a:lstStyle/>
          <a:p>
            <a:pPr algn="ctr" rtl="0">
              <a:defRPr sz="1600" b="1"/>
            </a:pPr>
            <a:r>
              <a:rPr lang="en-US" sz="1600" b="1" i="0" u="none" strike="noStrike" baseline="0">
                <a:solidFill>
                  <a:sysClr val="windowText" lastClr="000000">
                    <a:lumMod val="65000"/>
                    <a:lumOff val="35000"/>
                  </a:sysClr>
                </a:solidFill>
                <a:latin typeface="Calibri" panose="020F0502020204030204"/>
              </a:rPr>
              <a:t>Spending Allocation</a:t>
            </a:r>
          </a:p>
          <a:p>
            <a:pPr algn="ctr" rtl="0">
              <a:defRPr sz="1600" b="1"/>
            </a:pPr>
            <a:endParaRPr lang="en-US" sz="1600" b="1" i="0" u="none" strike="noStrike" baseline="0">
              <a:solidFill>
                <a:sysClr val="windowText" lastClr="000000">
                  <a:lumMod val="65000"/>
                  <a:lumOff val="35000"/>
                </a:sysClr>
              </a:solidFill>
              <a:latin typeface="Calibri" panose="020F0502020204030204"/>
            </a:endParaRPr>
          </a:p>
        </cx:rich>
      </cx:tx>
    </cx:title>
    <cx:plotArea>
      <cx:plotAreaRegion>
        <cx:series layoutId="treemap" uniqueId="{7E93275A-66B9-43CF-A4A5-9540478B3EBD}">
          <cx:dataLabels pos="inEnd">
            <cx:txPr>
              <a:bodyPr spcFirstLastPara="1" vertOverflow="ellipsis" horzOverflow="overflow" wrap="square" lIns="0" tIns="0" rIns="0" bIns="0" anchor="ctr" anchorCtr="1"/>
              <a:lstStyle/>
              <a:p>
                <a:pPr algn="ctr" rtl="0">
                  <a:defRPr sz="1400"/>
                </a:pPr>
                <a:endParaRPr lang="en-US" sz="1400" b="0" i="0" u="none" strike="noStrike" baseline="0">
                  <a:solidFill>
                    <a:sysClr val="window" lastClr="FFFFFF"/>
                  </a:solidFill>
                  <a:latin typeface="Calibri" panose="020F0502020204030204"/>
                </a:endParaRPr>
              </a:p>
            </cx:txPr>
            <cx:visibility seriesName="0" categoryName="1" value="0"/>
          </cx:dataLabels>
          <cx:dataId val="0"/>
          <cx:layoutPr>
            <cx:parentLabelLayout val="overlapping"/>
          </cx:layoutPr>
        </cx:series>
      </cx:plotAreaRegion>
    </cx:plotArea>
  </cx:chart>
  <cx:spPr>
    <a:noFill/>
    <a:ln>
      <a:solidFill>
        <a:srgbClr val="1E1E26"/>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0</xdr:rowOff>
    </xdr:from>
    <xdr:to>
      <xdr:col>18</xdr:col>
      <xdr:colOff>0</xdr:colOff>
      <xdr:row>3</xdr:row>
      <xdr:rowOff>0</xdr:rowOff>
    </xdr:to>
    <xdr:sp macro="" textlink="">
      <xdr:nvSpPr>
        <xdr:cNvPr id="2" name="Rectangle 1">
          <a:extLst>
            <a:ext uri="{FF2B5EF4-FFF2-40B4-BE49-F238E27FC236}">
              <a16:creationId xmlns:a16="http://schemas.microsoft.com/office/drawing/2014/main" id="{B73A8049-07A3-A480-8D2F-F1E5060D9488}"/>
            </a:ext>
          </a:extLst>
        </xdr:cNvPr>
        <xdr:cNvSpPr/>
      </xdr:nvSpPr>
      <xdr:spPr>
        <a:xfrm>
          <a:off x="3048000" y="0"/>
          <a:ext cx="7924800" cy="548640"/>
        </a:xfrm>
        <a:prstGeom prst="rect">
          <a:avLst/>
        </a:prstGeom>
        <a:solidFill>
          <a:srgbClr val="2D2D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2800"/>
            <a:t>FINANCIAL</a:t>
          </a:r>
          <a:r>
            <a:rPr lang="en-PH" sz="2800" baseline="0"/>
            <a:t> DATA TRANSFORMATION| 2025 AUDIT</a:t>
          </a:r>
          <a:endParaRPr lang="en-PH" sz="2800"/>
        </a:p>
      </xdr:txBody>
    </xdr:sp>
    <xdr:clientData/>
  </xdr:twoCellAnchor>
  <xdr:twoCellAnchor>
    <xdr:from>
      <xdr:col>1</xdr:col>
      <xdr:colOff>49386</xdr:colOff>
      <xdr:row>3</xdr:row>
      <xdr:rowOff>65314</xdr:rowOff>
    </xdr:from>
    <xdr:to>
      <xdr:col>5</xdr:col>
      <xdr:colOff>255700</xdr:colOff>
      <xdr:row>8</xdr:row>
      <xdr:rowOff>32843</xdr:rowOff>
    </xdr:to>
    <xdr:grpSp>
      <xdr:nvGrpSpPr>
        <xdr:cNvPr id="30" name="Group 29">
          <a:extLst>
            <a:ext uri="{FF2B5EF4-FFF2-40B4-BE49-F238E27FC236}">
              <a16:creationId xmlns:a16="http://schemas.microsoft.com/office/drawing/2014/main" id="{825ADD8B-9FA1-EF99-2F32-6D7A166EAD57}"/>
            </a:ext>
          </a:extLst>
        </xdr:cNvPr>
        <xdr:cNvGrpSpPr/>
      </xdr:nvGrpSpPr>
      <xdr:grpSpPr>
        <a:xfrm>
          <a:off x="658986" y="603196"/>
          <a:ext cx="2815043" cy="864000"/>
          <a:chOff x="865814" y="653142"/>
          <a:chExt cx="2855114" cy="925108"/>
        </a:xfrm>
      </xdr:grpSpPr>
      <xdr:sp macro="" textlink="$D$5">
        <xdr:nvSpPr>
          <xdr:cNvPr id="3" name="Rectangle: Rounded Corners 2">
            <a:extLst>
              <a:ext uri="{FF2B5EF4-FFF2-40B4-BE49-F238E27FC236}">
                <a16:creationId xmlns:a16="http://schemas.microsoft.com/office/drawing/2014/main" id="{111817B8-82E7-41CC-1FF0-10D77B12551E}"/>
              </a:ext>
            </a:extLst>
          </xdr:cNvPr>
          <xdr:cNvSpPr/>
        </xdr:nvSpPr>
        <xdr:spPr>
          <a:xfrm>
            <a:off x="865814" y="653142"/>
            <a:ext cx="2770014" cy="925108"/>
          </a:xfrm>
          <a:prstGeom prst="roundRect">
            <a:avLst/>
          </a:prstGeom>
          <a:solidFill>
            <a:srgbClr val="FFFFFF"/>
          </a:solidFill>
          <a:ln>
            <a:noFill/>
          </a:ln>
          <a:effectLst>
            <a:outerShdw blurRad="76200" dist="12700" dir="2700000" sy="-23000" kx="-800400" algn="b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97ABBBF-5781-4F63-BD9D-3DC6895562D1}" type="TxLink">
              <a:rPr lang="en-US" sz="2000" b="1" i="0" u="none" strike="noStrike">
                <a:solidFill>
                  <a:srgbClr val="000000"/>
                </a:solidFill>
                <a:latin typeface="Calibri"/>
                <a:ea typeface="Calibri"/>
                <a:cs typeface="Calibri"/>
              </a:rPr>
              <a:pPr algn="ctr"/>
              <a:t> 834,310.80 </a:t>
            </a:fld>
            <a:endParaRPr lang="en-PH" sz="2000" b="1"/>
          </a:p>
        </xdr:txBody>
      </xdr:sp>
      <xdr:sp macro="" textlink="">
        <xdr:nvSpPr>
          <xdr:cNvPr id="8" name="TextBox 7">
            <a:extLst>
              <a:ext uri="{FF2B5EF4-FFF2-40B4-BE49-F238E27FC236}">
                <a16:creationId xmlns:a16="http://schemas.microsoft.com/office/drawing/2014/main" id="{4DA786CE-C552-9B7F-5ED7-3F8348A22126}"/>
              </a:ext>
            </a:extLst>
          </xdr:cNvPr>
          <xdr:cNvSpPr txBox="1"/>
        </xdr:nvSpPr>
        <xdr:spPr>
          <a:xfrm>
            <a:off x="950914" y="655677"/>
            <a:ext cx="2770014" cy="370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2400" b="1" i="0" u="none" strike="noStrike">
                <a:solidFill>
                  <a:srgbClr val="00B050"/>
                </a:solidFill>
                <a:latin typeface="Calibri"/>
                <a:ea typeface="Calibri"/>
                <a:cs typeface="Calibri"/>
              </a:rPr>
              <a:t>Total Inflow</a:t>
            </a:r>
          </a:p>
        </xdr:txBody>
      </xdr:sp>
    </xdr:grpSp>
    <xdr:clientData/>
  </xdr:twoCellAnchor>
  <xdr:twoCellAnchor>
    <xdr:from>
      <xdr:col>19</xdr:col>
      <xdr:colOff>584837</xdr:colOff>
      <xdr:row>3</xdr:row>
      <xdr:rowOff>65314</xdr:rowOff>
    </xdr:from>
    <xdr:to>
      <xdr:col>24</xdr:col>
      <xdr:colOff>344837</xdr:colOff>
      <xdr:row>8</xdr:row>
      <xdr:rowOff>32843</xdr:rowOff>
    </xdr:to>
    <xdr:grpSp>
      <xdr:nvGrpSpPr>
        <xdr:cNvPr id="27" name="Group 26">
          <a:extLst>
            <a:ext uri="{FF2B5EF4-FFF2-40B4-BE49-F238E27FC236}">
              <a16:creationId xmlns:a16="http://schemas.microsoft.com/office/drawing/2014/main" id="{7564B200-59A9-06E7-78CF-C937132BBC33}"/>
            </a:ext>
          </a:extLst>
        </xdr:cNvPr>
        <xdr:cNvGrpSpPr/>
      </xdr:nvGrpSpPr>
      <xdr:grpSpPr>
        <a:xfrm>
          <a:off x="12606508" y="603196"/>
          <a:ext cx="2808000" cy="864000"/>
          <a:chOff x="12067985" y="609599"/>
          <a:chExt cx="2815542" cy="925108"/>
        </a:xfrm>
      </xdr:grpSpPr>
      <xdr:sp macro="" textlink="$T$5">
        <xdr:nvSpPr>
          <xdr:cNvPr id="7" name="Rectangle: Rounded Corners 6">
            <a:extLst>
              <a:ext uri="{FF2B5EF4-FFF2-40B4-BE49-F238E27FC236}">
                <a16:creationId xmlns:a16="http://schemas.microsoft.com/office/drawing/2014/main" id="{6E32933E-AFC3-4850-A238-C8360471E25C}"/>
              </a:ext>
            </a:extLst>
          </xdr:cNvPr>
          <xdr:cNvSpPr/>
        </xdr:nvSpPr>
        <xdr:spPr>
          <a:xfrm>
            <a:off x="12067985" y="609599"/>
            <a:ext cx="2593556" cy="925108"/>
          </a:xfrm>
          <a:prstGeom prst="roundRect">
            <a:avLst/>
          </a:prstGeom>
          <a:solidFill>
            <a:srgbClr val="FFFFFF"/>
          </a:solidFill>
          <a:ln>
            <a:noFill/>
          </a:ln>
          <a:effectLst>
            <a:outerShdw blurRad="76200" dist="12700" dir="2700000" sy="-23000" kx="-800400" algn="b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6ACFDA1-8975-4045-8F99-2D4F817844DB}" type="TxLink">
              <a:rPr lang="en-US" sz="2000" b="1" i="0" u="none" strike="noStrike">
                <a:solidFill>
                  <a:srgbClr val="000000"/>
                </a:solidFill>
                <a:latin typeface="Calibri"/>
                <a:ea typeface="Calibri"/>
                <a:cs typeface="Calibri"/>
              </a:rPr>
              <a:pPr algn="ctr"/>
              <a:t>96.5%</a:t>
            </a:fld>
            <a:endParaRPr lang="en-PH" sz="2000" b="1"/>
          </a:p>
        </xdr:txBody>
      </xdr:sp>
      <xdr:sp macro="" textlink="">
        <xdr:nvSpPr>
          <xdr:cNvPr id="9" name="TextBox 8">
            <a:extLst>
              <a:ext uri="{FF2B5EF4-FFF2-40B4-BE49-F238E27FC236}">
                <a16:creationId xmlns:a16="http://schemas.microsoft.com/office/drawing/2014/main" id="{96B24938-0ADF-4ED0-B024-D791A3416AA7}"/>
              </a:ext>
            </a:extLst>
          </xdr:cNvPr>
          <xdr:cNvSpPr txBox="1"/>
        </xdr:nvSpPr>
        <xdr:spPr>
          <a:xfrm>
            <a:off x="12111664" y="617309"/>
            <a:ext cx="2771863" cy="370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2400" b="1" i="0" u="none" strike="noStrike">
                <a:solidFill>
                  <a:srgbClr val="FFC000"/>
                </a:solidFill>
                <a:latin typeface="Calibri"/>
                <a:ea typeface="Calibri"/>
                <a:cs typeface="Calibri"/>
              </a:rPr>
              <a:t>Mapping Accuracy</a:t>
            </a:r>
          </a:p>
        </xdr:txBody>
      </xdr:sp>
    </xdr:grpSp>
    <xdr:clientData/>
  </xdr:twoCellAnchor>
  <xdr:twoCellAnchor>
    <xdr:from>
      <xdr:col>10</xdr:col>
      <xdr:colOff>180401</xdr:colOff>
      <xdr:row>3</xdr:row>
      <xdr:rowOff>65314</xdr:rowOff>
    </xdr:from>
    <xdr:to>
      <xdr:col>14</xdr:col>
      <xdr:colOff>452029</xdr:colOff>
      <xdr:row>8</xdr:row>
      <xdr:rowOff>32843</xdr:rowOff>
    </xdr:to>
    <xdr:grpSp>
      <xdr:nvGrpSpPr>
        <xdr:cNvPr id="29" name="Group 28">
          <a:extLst>
            <a:ext uri="{FF2B5EF4-FFF2-40B4-BE49-F238E27FC236}">
              <a16:creationId xmlns:a16="http://schemas.microsoft.com/office/drawing/2014/main" id="{79700BE3-BA29-6CC2-B574-F6D5EC6B9736}"/>
            </a:ext>
          </a:extLst>
        </xdr:cNvPr>
        <xdr:cNvGrpSpPr/>
      </xdr:nvGrpSpPr>
      <xdr:grpSpPr>
        <a:xfrm>
          <a:off x="6617060" y="603196"/>
          <a:ext cx="2808640" cy="864000"/>
          <a:chOff x="6531220" y="655677"/>
          <a:chExt cx="2770087" cy="955230"/>
        </a:xfrm>
      </xdr:grpSpPr>
      <xdr:sp macro="" textlink="$L$5">
        <xdr:nvSpPr>
          <xdr:cNvPr id="5" name="Rectangle: Rounded Corners 4">
            <a:extLst>
              <a:ext uri="{FF2B5EF4-FFF2-40B4-BE49-F238E27FC236}">
                <a16:creationId xmlns:a16="http://schemas.microsoft.com/office/drawing/2014/main" id="{0D94BDEF-0C35-46AF-A4F8-F2372B5E3820}"/>
              </a:ext>
            </a:extLst>
          </xdr:cNvPr>
          <xdr:cNvSpPr/>
        </xdr:nvSpPr>
        <xdr:spPr>
          <a:xfrm>
            <a:off x="6617715" y="685799"/>
            <a:ext cx="2598419" cy="925108"/>
          </a:xfrm>
          <a:prstGeom prst="roundRect">
            <a:avLst/>
          </a:prstGeom>
          <a:solidFill>
            <a:srgbClr val="FFFFFF"/>
          </a:solidFill>
          <a:ln>
            <a:noFill/>
          </a:ln>
          <a:effectLst>
            <a:outerShdw blurRad="76200" dist="12700" dir="2700000" sy="-23000" kx="-800400" algn="b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A87F9DB-CDC5-46D2-9F6C-F5958CCFBAE4}" type="TxLink">
              <a:rPr lang="en-US" sz="2000" b="1" i="0" u="none" strike="noStrike">
                <a:solidFill>
                  <a:srgbClr val="000000"/>
                </a:solidFill>
                <a:latin typeface="Calibri"/>
                <a:ea typeface="Calibri"/>
                <a:cs typeface="Calibri"/>
              </a:rPr>
              <a:pPr algn="ctr"/>
              <a:t> 61,530.44 </a:t>
            </a:fld>
            <a:endParaRPr lang="en-PH" sz="2000" b="1"/>
          </a:p>
        </xdr:txBody>
      </xdr:sp>
      <xdr:sp macro="" textlink="">
        <xdr:nvSpPr>
          <xdr:cNvPr id="10" name="TextBox 9">
            <a:extLst>
              <a:ext uri="{FF2B5EF4-FFF2-40B4-BE49-F238E27FC236}">
                <a16:creationId xmlns:a16="http://schemas.microsoft.com/office/drawing/2014/main" id="{29FCC57C-9274-4E10-99FD-BD93EB2C5527}"/>
              </a:ext>
            </a:extLst>
          </xdr:cNvPr>
          <xdr:cNvSpPr txBox="1"/>
        </xdr:nvSpPr>
        <xdr:spPr>
          <a:xfrm>
            <a:off x="6531220" y="655677"/>
            <a:ext cx="2770087" cy="370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2400" b="1" i="0" u="none" strike="noStrike">
                <a:solidFill>
                  <a:srgbClr val="2ECC71"/>
                </a:solidFill>
                <a:latin typeface="Calibri"/>
                <a:ea typeface="Calibri"/>
                <a:cs typeface="Calibri"/>
              </a:rPr>
              <a:t>Net</a:t>
            </a:r>
            <a:r>
              <a:rPr lang="en-PH" sz="2400" b="1" i="0" u="none" strike="noStrike" baseline="0">
                <a:solidFill>
                  <a:srgbClr val="2ECC71"/>
                </a:solidFill>
                <a:latin typeface="Calibri"/>
                <a:ea typeface="Calibri"/>
                <a:cs typeface="Calibri"/>
              </a:rPr>
              <a:t> Profit</a:t>
            </a:r>
            <a:endParaRPr lang="en-PH" sz="2400" b="1" i="0" u="none" strike="noStrike">
              <a:solidFill>
                <a:srgbClr val="2ECC71"/>
              </a:solidFill>
              <a:latin typeface="Calibri"/>
              <a:ea typeface="Calibri"/>
              <a:cs typeface="Calibri"/>
            </a:endParaRPr>
          </a:p>
        </xdr:txBody>
      </xdr:sp>
    </xdr:grpSp>
    <xdr:clientData/>
  </xdr:twoCellAnchor>
  <xdr:twoCellAnchor>
    <xdr:from>
      <xdr:col>15</xdr:col>
      <xdr:colOff>6422</xdr:colOff>
      <xdr:row>3</xdr:row>
      <xdr:rowOff>65314</xdr:rowOff>
    </xdr:from>
    <xdr:to>
      <xdr:col>19</xdr:col>
      <xdr:colOff>376022</xdr:colOff>
      <xdr:row>8</xdr:row>
      <xdr:rowOff>32843</xdr:rowOff>
    </xdr:to>
    <xdr:grpSp>
      <xdr:nvGrpSpPr>
        <xdr:cNvPr id="28" name="Group 27">
          <a:extLst>
            <a:ext uri="{FF2B5EF4-FFF2-40B4-BE49-F238E27FC236}">
              <a16:creationId xmlns:a16="http://schemas.microsoft.com/office/drawing/2014/main" id="{3E6B4B47-5085-9F20-4F82-C070396CCA51}"/>
            </a:ext>
          </a:extLst>
        </xdr:cNvPr>
        <xdr:cNvGrpSpPr/>
      </xdr:nvGrpSpPr>
      <xdr:grpSpPr>
        <a:xfrm>
          <a:off x="9589693" y="603196"/>
          <a:ext cx="2808000" cy="864000"/>
          <a:chOff x="9321373" y="624840"/>
          <a:chExt cx="2770013" cy="931638"/>
        </a:xfrm>
      </xdr:grpSpPr>
      <xdr:sp macro="" textlink="$P$5">
        <xdr:nvSpPr>
          <xdr:cNvPr id="6" name="Rectangle: Rounded Corners 5">
            <a:extLst>
              <a:ext uri="{FF2B5EF4-FFF2-40B4-BE49-F238E27FC236}">
                <a16:creationId xmlns:a16="http://schemas.microsoft.com/office/drawing/2014/main" id="{C4D538C3-5BED-428C-A1F5-F21208BDB52C}"/>
              </a:ext>
            </a:extLst>
          </xdr:cNvPr>
          <xdr:cNvSpPr/>
        </xdr:nvSpPr>
        <xdr:spPr>
          <a:xfrm>
            <a:off x="9414461" y="631370"/>
            <a:ext cx="2591826" cy="925108"/>
          </a:xfrm>
          <a:prstGeom prst="roundRect">
            <a:avLst/>
          </a:prstGeom>
          <a:solidFill>
            <a:srgbClr val="FFFFFF"/>
          </a:solidFill>
          <a:ln>
            <a:noFill/>
          </a:ln>
          <a:effectLst>
            <a:outerShdw blurRad="76200" dist="12700" dir="2700000" sy="-23000" kx="-800400" algn="b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FA5D6CD-4561-439C-9FD7-F456358090E3}" type="TxLink">
              <a:rPr lang="en-US" sz="2000" b="1" i="0" u="none" strike="noStrike">
                <a:solidFill>
                  <a:srgbClr val="000000"/>
                </a:solidFill>
                <a:latin typeface="Calibri"/>
                <a:ea typeface="Calibri"/>
                <a:cs typeface="Calibri"/>
              </a:rPr>
              <a:pPr algn="ctr"/>
              <a:t>19.37%</a:t>
            </a:fld>
            <a:endParaRPr lang="en-US" sz="2000"/>
          </a:p>
        </xdr:txBody>
      </xdr:sp>
      <xdr:sp macro="" textlink="">
        <xdr:nvSpPr>
          <xdr:cNvPr id="11" name="TextBox 10">
            <a:extLst>
              <a:ext uri="{FF2B5EF4-FFF2-40B4-BE49-F238E27FC236}">
                <a16:creationId xmlns:a16="http://schemas.microsoft.com/office/drawing/2014/main" id="{67F855C9-76A3-4E3A-8DF1-3258D3E16167}"/>
              </a:ext>
            </a:extLst>
          </xdr:cNvPr>
          <xdr:cNvSpPr txBox="1"/>
        </xdr:nvSpPr>
        <xdr:spPr>
          <a:xfrm>
            <a:off x="9321373" y="624840"/>
            <a:ext cx="2770013" cy="370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2400" b="1" i="0" u="none" strike="noStrike">
                <a:solidFill>
                  <a:srgbClr val="3498DB"/>
                </a:solidFill>
                <a:latin typeface="Calibri"/>
                <a:ea typeface="Calibri"/>
                <a:cs typeface="Calibri"/>
              </a:rPr>
              <a:t>Savings</a:t>
            </a:r>
            <a:r>
              <a:rPr lang="en-PH" sz="2400" b="1" i="0" u="none" strike="noStrike" baseline="0">
                <a:solidFill>
                  <a:srgbClr val="3498DB"/>
                </a:solidFill>
                <a:latin typeface="Calibri"/>
                <a:ea typeface="Calibri"/>
                <a:cs typeface="Calibri"/>
              </a:rPr>
              <a:t> Rate</a:t>
            </a:r>
            <a:endParaRPr lang="en-PH" sz="2400" b="1" i="0" u="none" strike="noStrike">
              <a:solidFill>
                <a:srgbClr val="3498DB"/>
              </a:solidFill>
              <a:latin typeface="Calibri"/>
              <a:ea typeface="Calibri"/>
              <a:cs typeface="Calibri"/>
            </a:endParaRPr>
          </a:p>
        </xdr:txBody>
      </xdr:sp>
    </xdr:grpSp>
    <xdr:clientData/>
  </xdr:twoCellAnchor>
  <xdr:twoCellAnchor>
    <xdr:from>
      <xdr:col>5</xdr:col>
      <xdr:colOff>419693</xdr:colOff>
      <xdr:row>3</xdr:row>
      <xdr:rowOff>65314</xdr:rowOff>
    </xdr:from>
    <xdr:to>
      <xdr:col>10</xdr:col>
      <xdr:colOff>16408</xdr:colOff>
      <xdr:row>8</xdr:row>
      <xdr:rowOff>32843</xdr:rowOff>
    </xdr:to>
    <xdr:grpSp>
      <xdr:nvGrpSpPr>
        <xdr:cNvPr id="31" name="Group 30">
          <a:extLst>
            <a:ext uri="{FF2B5EF4-FFF2-40B4-BE49-F238E27FC236}">
              <a16:creationId xmlns:a16="http://schemas.microsoft.com/office/drawing/2014/main" id="{440BD874-226A-B55A-0B7D-553AD76EF656}"/>
            </a:ext>
          </a:extLst>
        </xdr:cNvPr>
        <xdr:cNvGrpSpPr/>
      </xdr:nvGrpSpPr>
      <xdr:grpSpPr>
        <a:xfrm>
          <a:off x="3638022" y="603196"/>
          <a:ext cx="2815045" cy="864000"/>
          <a:chOff x="3659164" y="620485"/>
          <a:chExt cx="2772000" cy="925108"/>
        </a:xfrm>
      </xdr:grpSpPr>
      <xdr:sp macro="" textlink="$H$5">
        <xdr:nvSpPr>
          <xdr:cNvPr id="4" name="Rectangle: Rounded Corners 3">
            <a:extLst>
              <a:ext uri="{FF2B5EF4-FFF2-40B4-BE49-F238E27FC236}">
                <a16:creationId xmlns:a16="http://schemas.microsoft.com/office/drawing/2014/main" id="{0BC58659-1EB1-4B77-941E-092473A4E71C}"/>
              </a:ext>
            </a:extLst>
          </xdr:cNvPr>
          <xdr:cNvSpPr/>
        </xdr:nvSpPr>
        <xdr:spPr>
          <a:xfrm>
            <a:off x="3744800" y="620485"/>
            <a:ext cx="2604461" cy="925108"/>
          </a:xfrm>
          <a:prstGeom prst="roundRect">
            <a:avLst/>
          </a:prstGeom>
          <a:solidFill>
            <a:srgbClr val="FFFFFF"/>
          </a:solidFill>
          <a:ln>
            <a:noFill/>
          </a:ln>
          <a:effectLst>
            <a:outerShdw blurRad="76200" dist="12700" dir="2700000" sy="-23000" kx="-800400" algn="b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BCA196B-E13D-4F42-BD16-4BE6420BF37D}" type="TxLink">
              <a:rPr lang="en-US" sz="2000" b="1" i="0" u="none" strike="noStrike">
                <a:solidFill>
                  <a:srgbClr val="000000"/>
                </a:solidFill>
                <a:latin typeface="Calibri"/>
                <a:ea typeface="Calibri"/>
                <a:cs typeface="Calibri"/>
              </a:rPr>
              <a:pPr algn="ctr"/>
              <a:t> 772,780.36 </a:t>
            </a:fld>
            <a:endParaRPr lang="en-US" sz="2000" b="1"/>
          </a:p>
        </xdr:txBody>
      </xdr:sp>
      <xdr:sp macro="" textlink="">
        <xdr:nvSpPr>
          <xdr:cNvPr id="12" name="TextBox 11">
            <a:extLst>
              <a:ext uri="{FF2B5EF4-FFF2-40B4-BE49-F238E27FC236}">
                <a16:creationId xmlns:a16="http://schemas.microsoft.com/office/drawing/2014/main" id="{F73D8A81-653D-46D9-8A82-BBFC5456FBE5}"/>
              </a:ext>
            </a:extLst>
          </xdr:cNvPr>
          <xdr:cNvSpPr txBox="1"/>
        </xdr:nvSpPr>
        <xdr:spPr>
          <a:xfrm>
            <a:off x="3659164" y="624840"/>
            <a:ext cx="2772000" cy="370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2400" b="1" i="0" u="none" strike="noStrike">
                <a:solidFill>
                  <a:srgbClr val="FF0000"/>
                </a:solidFill>
                <a:latin typeface="Calibri"/>
                <a:ea typeface="Calibri"/>
                <a:cs typeface="Calibri"/>
              </a:rPr>
              <a:t>Total Outflow</a:t>
            </a:r>
          </a:p>
        </xdr:txBody>
      </xdr:sp>
    </xdr:grpSp>
    <xdr:clientData/>
  </xdr:twoCellAnchor>
  <xdr:twoCellAnchor>
    <xdr:from>
      <xdr:col>3</xdr:col>
      <xdr:colOff>576943</xdr:colOff>
      <xdr:row>9</xdr:row>
      <xdr:rowOff>13326</xdr:rowOff>
    </xdr:from>
    <xdr:to>
      <xdr:col>12</xdr:col>
      <xdr:colOff>478971</xdr:colOff>
      <xdr:row>25</xdr:row>
      <xdr:rowOff>29678</xdr:rowOff>
    </xdr:to>
    <xdr:graphicFrame macro="">
      <xdr:nvGraphicFramePr>
        <xdr:cNvPr id="16" name="Chart 1">
          <a:extLst>
            <a:ext uri="{FF2B5EF4-FFF2-40B4-BE49-F238E27FC236}">
              <a16:creationId xmlns:a16="http://schemas.microsoft.com/office/drawing/2014/main" id="{3F16987D-2FB2-4CA1-8A6F-9B47595CC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108973</xdr:colOff>
      <xdr:row>8</xdr:row>
      <xdr:rowOff>182903</xdr:rowOff>
    </xdr:from>
    <xdr:to>
      <xdr:col>22</xdr:col>
      <xdr:colOff>442472</xdr:colOff>
      <xdr:row>25</xdr:row>
      <xdr:rowOff>23615</xdr:rowOff>
    </xdr:to>
    <mc:AlternateContent xmlns:mc="http://schemas.openxmlformats.org/markup-compatibility/2006">
      <mc:Choice xmlns:cx1="http://schemas.microsoft.com/office/drawing/2015/9/8/chartex" Requires="cx1">
        <xdr:graphicFrame macro="">
          <xdr:nvGraphicFramePr>
            <xdr:cNvPr id="17" name="Chart 3">
              <a:extLst>
                <a:ext uri="{FF2B5EF4-FFF2-40B4-BE49-F238E27FC236}">
                  <a16:creationId xmlns:a16="http://schemas.microsoft.com/office/drawing/2014/main" id="{FD14EADD-FC1D-AA61-51FD-06964438F8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468113" y="1645943"/>
              <a:ext cx="5819899" cy="2949672"/>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576942</xdr:colOff>
      <xdr:row>25</xdr:row>
      <xdr:rowOff>21770</xdr:rowOff>
    </xdr:from>
    <xdr:to>
      <xdr:col>13</xdr:col>
      <xdr:colOff>53339</xdr:colOff>
      <xdr:row>41</xdr:row>
      <xdr:rowOff>173297</xdr:rowOff>
    </xdr:to>
    <xdr:graphicFrame macro="">
      <xdr:nvGraphicFramePr>
        <xdr:cNvPr id="18" name="Chart 4">
          <a:extLst>
            <a:ext uri="{FF2B5EF4-FFF2-40B4-BE49-F238E27FC236}">
              <a16:creationId xmlns:a16="http://schemas.microsoft.com/office/drawing/2014/main" id="{3ABE9219-94A2-97B2-FDD1-3AFD515AE2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389156</xdr:colOff>
      <xdr:row>11</xdr:row>
      <xdr:rowOff>16421</xdr:rowOff>
    </xdr:from>
    <xdr:to>
      <xdr:col>3</xdr:col>
      <xdr:colOff>87085</xdr:colOff>
      <xdr:row>29</xdr:row>
      <xdr:rowOff>103094</xdr:rowOff>
    </xdr:to>
    <mc:AlternateContent xmlns:mc="http://schemas.openxmlformats.org/markup-compatibility/2006" xmlns:a14="http://schemas.microsoft.com/office/drawing/2010/main">
      <mc:Choice Requires="a14">
        <xdr:graphicFrame macro="">
          <xdr:nvGraphicFramePr>
            <xdr:cNvPr id="19" name="Date Received (Month) 1">
              <a:extLst>
                <a:ext uri="{FF2B5EF4-FFF2-40B4-BE49-F238E27FC236}">
                  <a16:creationId xmlns:a16="http://schemas.microsoft.com/office/drawing/2014/main" id="{C7B03D9A-22E5-4932-83B4-C9531589AAE7}"/>
                </a:ext>
              </a:extLst>
            </xdr:cNvPr>
            <xdr:cNvGraphicFramePr/>
          </xdr:nvGraphicFramePr>
          <xdr:xfrm>
            <a:off x="0" y="0"/>
            <a:ext cx="0" cy="0"/>
          </xdr:xfrm>
          <a:graphic>
            <a:graphicData uri="http://schemas.microsoft.com/office/drawing/2010/slicer">
              <sle:slicer xmlns:sle="http://schemas.microsoft.com/office/drawing/2010/slicer" name="Date Received (Month) 1"/>
            </a:graphicData>
          </a:graphic>
        </xdr:graphicFrame>
      </mc:Choice>
      <mc:Fallback xmlns="">
        <xdr:sp macro="" textlink="">
          <xdr:nvSpPr>
            <xdr:cNvPr id="0" name=""/>
            <xdr:cNvSpPr>
              <a:spLocks noTextEdit="1"/>
            </xdr:cNvSpPr>
          </xdr:nvSpPr>
          <xdr:spPr>
            <a:xfrm>
              <a:off x="389156" y="1988656"/>
              <a:ext cx="1526729" cy="3313967"/>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209004</xdr:colOff>
      <xdr:row>24</xdr:row>
      <xdr:rowOff>160563</xdr:rowOff>
    </xdr:from>
    <xdr:to>
      <xdr:col>22</xdr:col>
      <xdr:colOff>348341</xdr:colOff>
      <xdr:row>41</xdr:row>
      <xdr:rowOff>152399</xdr:rowOff>
    </xdr:to>
    <xdr:graphicFrame macro="">
      <xdr:nvGraphicFramePr>
        <xdr:cNvPr id="32" name="Chart 6">
          <a:extLst>
            <a:ext uri="{FF2B5EF4-FFF2-40B4-BE49-F238E27FC236}">
              <a16:creationId xmlns:a16="http://schemas.microsoft.com/office/drawing/2014/main" id="{F52D1959-BD8B-56F5-F055-4FC5379412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tch" refreshedDate="46136.631156481482" backgroundQuery="1" createdVersion="8" refreshedVersion="8" minRefreshableVersion="3" recordCount="0" supportSubquery="1" supportAdvancedDrill="1" xr:uid="{503CD2DC-9B0F-47AB-9B6A-60BB65B22DC6}">
  <cacheSource type="external" connectionId="3"/>
  <cacheFields count="6">
    <cacheField name="[CleanedSheet].[Flow].[Flow]" caption="Flow" numFmtId="0" hierarchy="11" level="1">
      <sharedItems count="1">
        <s v="Inflow"/>
      </sharedItems>
    </cacheField>
    <cacheField name="[CleanedSheet].[Entity].[Entity]" caption="Entity" numFmtId="0" hierarchy="12" level="1">
      <sharedItems count="10">
        <s v="AC"/>
        <s v="AH"/>
        <s v="AQ"/>
        <s v="AX"/>
        <s v="BT"/>
        <s v="BY"/>
        <s v="CJMen"/>
        <s v="DD"/>
        <s v="Jas"/>
        <s v="NF"/>
      </sharedItems>
    </cacheField>
    <cacheField name="[CleanedSheet].[Macro_Category].[Macro_Category]" caption="Macro_Category" numFmtId="0" hierarchy="13" level="1">
      <sharedItems count="1">
        <s v="Payments"/>
      </sharedItems>
    </cacheField>
    <cacheField name="[CleanedSheet].[Category].[Category]" caption="Category" numFmtId="0" hierarchy="6" level="1">
      <sharedItems count="1">
        <s v="Transfer"/>
      </sharedItems>
    </cacheField>
    <cacheField name="[CleanedSheet].[Date Received (Month)].[Date Received (Month)]" caption="Date Received (Month)" numFmtId="0" hierarchy="14" level="1">
      <sharedItems count="12">
        <s v="Jan"/>
        <s v="Feb"/>
        <s v="Mar"/>
        <s v="Apr"/>
        <s v="May"/>
        <s v="Jun"/>
        <s v="Jul"/>
        <s v="Aug"/>
        <s v="Sep"/>
        <s v="Oct"/>
        <s v="Nov"/>
        <s v="Dec"/>
      </sharedItems>
    </cacheField>
    <cacheField name="[Measures].[True_Revenue]" caption="True_Revenue" numFmtId="0" hierarchy="20" level="32767"/>
  </cacheFields>
  <cacheHierarchies count="27">
    <cacheHierarchy uniqueName="[CleanedSheet].[Date Received]" caption="Date Received" attribute="1" time="1" defaultMemberUniqueName="[CleanedSheet].[Date Received].[All]" allUniqueName="[CleanedSheet].[Date Received].[All]" dimensionUniqueName="[CleanedSheet]" displayFolder="" count="0" memberValueDatatype="7" unbalanced="0"/>
    <cacheHierarchy uniqueName="[CleanedSheet].[Month]" caption="Month" attribute="1" defaultMemberUniqueName="[CleanedSheet].[Month].[All]" allUniqueName="[CleanedSheet].[Month].[All]" dimensionUniqueName="[CleanedSheet]" displayFolder="" count="0" memberValueDatatype="130" unbalanced="0"/>
    <cacheHierarchy uniqueName="[CleanedSheet].[Account_ID]" caption="Account_ID" attribute="1" defaultMemberUniqueName="[CleanedSheet].[Account_ID].[All]" allUniqueName="[CleanedSheet].[Account_ID].[All]" dimensionUniqueName="[CleanedSheet]" displayFolder="" count="0" memberValueDatatype="130" unbalanced="0"/>
    <cacheHierarchy uniqueName="[CleanedSheet].[Amount]" caption="Amount" attribute="1" defaultMemberUniqueName="[CleanedSheet].[Amount].[All]" allUniqueName="[CleanedSheet].[Amount].[All]" dimensionUniqueName="[CleanedSheet]" displayFolder="" count="0" memberValueDatatype="5" unbalanced="0"/>
    <cacheHierarchy uniqueName="[CleanedSheet].[Transaction_Details]" caption="Transaction_Details" attribute="1" defaultMemberUniqueName="[CleanedSheet].[Transaction_Details].[All]" allUniqueName="[CleanedSheet].[Transaction_Details].[All]" dimensionUniqueName="[CleanedSheet]" displayFolder="" count="0" memberValueDatatype="130" unbalanced="0"/>
    <cacheHierarchy uniqueName="[CleanedSheet].[Transaction_Type]" caption="Transaction_Type" attribute="1" defaultMemberUniqueName="[CleanedSheet].[Transaction_Type].[All]" allUniqueName="[CleanedSheet].[Transaction_Type].[All]" dimensionUniqueName="[CleanedSheet]" displayFolder="" count="0" memberValueDatatype="130" unbalanced="0"/>
    <cacheHierarchy uniqueName="[CleanedSheet].[Category]" caption="Category" attribute="1" defaultMemberUniqueName="[CleanedSheet].[Category].[All]" allUniqueName="[CleanedSheet].[Category].[All]" dimensionUniqueName="[CleanedSheet]" displayFolder="" count="2" memberValueDatatype="130" unbalanced="0">
      <fieldsUsage count="2">
        <fieldUsage x="-1"/>
        <fieldUsage x="3"/>
      </fieldsUsage>
    </cacheHierarchy>
    <cacheHierarchy uniqueName="[CleanedSheet].[Type]" caption="Type" attribute="1" defaultMemberUniqueName="[CleanedSheet].[Type].[All]" allUniqueName="[CleanedSheet].[Type].[All]" dimensionUniqueName="[CleanedSheet]" displayFolder="" count="0" memberValueDatatype="130" unbalanced="0"/>
    <cacheHierarchy uniqueName="[CleanedSheet].[Month_Sort]" caption="Month_Sort" attribute="1" defaultMemberUniqueName="[CleanedSheet].[Month_Sort].[All]" allUniqueName="[CleanedSheet].[Month_Sort].[All]" dimensionUniqueName="[CleanedSheet]" displayFolder="" count="0" memberValueDatatype="20" unbalanced="0"/>
    <cacheHierarchy uniqueName="[CleanedSheet].[Fiscal_Quarter]" caption="Fiscal_Quarter" attribute="1" defaultMemberUniqueName="[CleanedSheet].[Fiscal_Quarter].[All]" allUniqueName="[CleanedSheet].[Fiscal_Quarter].[All]" dimensionUniqueName="[CleanedSheet]" displayFolder="" count="0" memberValueDatatype="20" unbalanced="0"/>
    <cacheHierarchy uniqueName="[CleanedSheet].[Total]" caption="Total" attribute="1" defaultMemberUniqueName="[CleanedSheet].[Total].[All]" allUniqueName="[CleanedSheet].[Total].[All]" dimensionUniqueName="[CleanedSheet]" displayFolder="" count="0" memberValueDatatype="5" unbalanced="0"/>
    <cacheHierarchy uniqueName="[CleanedSheet].[Flow]" caption="Flow" attribute="1" defaultMemberUniqueName="[CleanedSheet].[Flow].[All]" allUniqueName="[CleanedSheet].[Flow].[All]" dimensionUniqueName="[CleanedSheet]" displayFolder="" count="2" memberValueDatatype="130" unbalanced="0">
      <fieldsUsage count="2">
        <fieldUsage x="-1"/>
        <fieldUsage x="0"/>
      </fieldsUsage>
    </cacheHierarchy>
    <cacheHierarchy uniqueName="[CleanedSheet].[Entity]" caption="Entity" attribute="1" defaultMemberUniqueName="[CleanedSheet].[Entity].[All]" allUniqueName="[CleanedSheet].[Entity].[All]" dimensionUniqueName="[CleanedSheet]" displayFolder="" count="2" memberValueDatatype="130" unbalanced="0">
      <fieldsUsage count="2">
        <fieldUsage x="-1"/>
        <fieldUsage x="1"/>
      </fieldsUsage>
    </cacheHierarchy>
    <cacheHierarchy uniqueName="[CleanedSheet].[Macro_Category]" caption="Macro_Category" attribute="1" defaultMemberUniqueName="[CleanedSheet].[Macro_Category].[All]" allUniqueName="[CleanedSheet].[Macro_Category].[All]" dimensionUniqueName="[CleanedSheet]" displayFolder="" count="2" memberValueDatatype="130" unbalanced="0">
      <fieldsUsage count="2">
        <fieldUsage x="-1"/>
        <fieldUsage x="2"/>
      </fieldsUsage>
    </cacheHierarchy>
    <cacheHierarchy uniqueName="[CleanedSheet].[Date Received (Month)]" caption="Date Received (Month)" attribute="1" defaultMemberUniqueName="[CleanedSheet].[Date Received (Month)].[All]" allUniqueName="[CleanedSheet].[Date Received (Month)].[All]" dimensionUniqueName="[CleanedSheet]" displayFolder="" count="2" memberValueDatatype="130" unbalanced="0">
      <fieldsUsage count="2">
        <fieldUsage x="-1"/>
        <fieldUsage x="4"/>
      </fieldsUsage>
    </cacheHierarchy>
    <cacheHierarchy uniqueName="[CleanedSheet].[Date Received (Month Index)]" caption="Date Received (Month Index)" attribute="1" defaultMemberUniqueName="[CleanedSheet].[Date Received (Month Index)].[All]" allUniqueName="[CleanedSheet].[Date Received (Month Index)].[All]" dimensionUniqueName="[CleanedSheet]" displayFolder="" count="0" memberValueDatatype="20" unbalanced="0" hidden="1"/>
    <cacheHierarchy uniqueName="[Measures].[Sum of Month_Sort]" caption="Sum of Month_Sort" measure="1" displayFolder="" measureGroup="CleanedSheet" count="0">
      <extLst>
        <ext xmlns:x15="http://schemas.microsoft.com/office/spreadsheetml/2010/11/main" uri="{B97F6D7D-B522-45F9-BDA1-12C45D357490}">
          <x15:cacheHierarchy aggregatedColumn="8"/>
        </ext>
      </extLst>
    </cacheHierarchy>
    <cacheHierarchy uniqueName="[Measures].[Sum of Amount]" caption="Sum of Amount" measure="1" displayFolder="" measureGroup="CleanedSheet" count="0">
      <extLst>
        <ext xmlns:x15="http://schemas.microsoft.com/office/spreadsheetml/2010/11/main" uri="{B97F6D7D-B522-45F9-BDA1-12C45D357490}">
          <x15:cacheHierarchy aggregatedColumn="3"/>
        </ext>
      </extLst>
    </cacheHierarchy>
    <cacheHierarchy uniqueName="[Measures].[Sum of Total]" caption="Sum of Total" measure="1" displayFolder="" measureGroup="CleanedSheet" count="0">
      <extLst>
        <ext xmlns:x15="http://schemas.microsoft.com/office/spreadsheetml/2010/11/main" uri="{B97F6D7D-B522-45F9-BDA1-12C45D357490}">
          <x15:cacheHierarchy aggregatedColumn="10"/>
        </ext>
      </extLst>
    </cacheHierarchy>
    <cacheHierarchy uniqueName="[Measures].[Sum of Fiscal_Quarter]" caption="Sum of Fiscal_Quarter" measure="1" displayFolder="" measureGroup="CleanedSheet" count="0">
      <extLst>
        <ext xmlns:x15="http://schemas.microsoft.com/office/spreadsheetml/2010/11/main" uri="{B97F6D7D-B522-45F9-BDA1-12C45D357490}">
          <x15:cacheHierarchy aggregatedColumn="9"/>
        </ext>
      </extLst>
    </cacheHierarchy>
    <cacheHierarchy uniqueName="[Measures].[True_Revenue]" caption="True_Revenue" measure="1" displayFolder="" measureGroup="CleanedSheet" count="0" oneField="1">
      <fieldsUsage count="1">
        <fieldUsage x="5"/>
      </fieldsUsage>
    </cacheHierarchy>
    <cacheHierarchy uniqueName="[Measures].[True_Expense]" caption="True_Expense" measure="1" displayFolder="" measureGroup="CleanedSheet" count="0"/>
    <cacheHierarchy uniqueName="[Measures].[Net_Profit]" caption="Net_Profit" measure="1" displayFolder="" measureGroup="CleanedSheet" count="0"/>
    <cacheHierarchy uniqueName="[Measures].[Saving Rates]" caption="Saving Rates" measure="1" displayFolder="" measureGroup="CleanedSheet" count="0"/>
    <cacheHierarchy uniqueName="[Measures].[Mapping Accuracy]" caption="Mapping Accuracy" measure="1" displayFolder="" measureGroup="CleanedSheet" count="0"/>
    <cacheHierarchy uniqueName="[Measures].[__XL_Count CleanedSheet]" caption="__XL_Count CleanedSheet" measure="1" displayFolder="" measureGroup="CleanedSheet" count="0" hidden="1"/>
    <cacheHierarchy uniqueName="[Measures].[__No measures defined]" caption="__No measures defined" measure="1" displayFolder="" count="0" hidden="1"/>
  </cacheHierarchies>
  <kpis count="0"/>
  <dimensions count="2">
    <dimension name="CleanedSheet" uniqueName="[CleanedSheet]" caption="CleanedSheet"/>
    <dimension measure="1" name="Measures" uniqueName="[Measures]" caption="Measures"/>
  </dimensions>
  <measureGroups count="1">
    <measureGroup name="CleanedSheet" caption="CleanedShe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tch" refreshedDate="46136.631157060183" backgroundQuery="1" createdVersion="8" refreshedVersion="8" minRefreshableVersion="3" recordCount="0" supportSubquery="1" supportAdvancedDrill="1" xr:uid="{82430FB2-3FD8-4213-A4D3-8B422D22A126}">
  <cacheSource type="external" connectionId="3"/>
  <cacheFields count="4">
    <cacheField name="[CleanedSheet].[Flow].[Flow]" caption="Flow" numFmtId="0" hierarchy="11" level="1">
      <sharedItems containsSemiMixedTypes="0" containsNonDate="0" containsString="0"/>
    </cacheField>
    <cacheField name="[CleanedSheet].[Macro_Category].[Macro_Category]" caption="Macro_Category" numFmtId="0" hierarchy="13" level="1">
      <sharedItems count="4">
        <s v="Fixed Expense"/>
        <s v="Government Payment"/>
        <s v="Monthly Expense"/>
        <s v="Personal Expense"/>
      </sharedItems>
    </cacheField>
    <cacheField name="[Measures].[Sum of Amount]" caption="Sum of Amount" numFmtId="0" hierarchy="17" level="32767"/>
    <cacheField name="[CleanedSheet].[Date Received (Month)].[Date Received (Month)]" caption="Date Received (Month)" numFmtId="0" hierarchy="14" level="1">
      <sharedItems containsSemiMixedTypes="0" containsNonDate="0" containsString="0"/>
    </cacheField>
  </cacheFields>
  <cacheHierarchies count="27">
    <cacheHierarchy uniqueName="[CleanedSheet].[Date Received]" caption="Date Received" attribute="1" time="1" defaultMemberUniqueName="[CleanedSheet].[Date Received].[All]" allUniqueName="[CleanedSheet].[Date Received].[All]" dimensionUniqueName="[CleanedSheet]" displayFolder="" count="0" memberValueDatatype="7" unbalanced="0"/>
    <cacheHierarchy uniqueName="[CleanedSheet].[Month]" caption="Month" attribute="1" defaultMemberUniqueName="[CleanedSheet].[Month].[All]" allUniqueName="[CleanedSheet].[Month].[All]" dimensionUniqueName="[CleanedSheet]" displayFolder="" count="0" memberValueDatatype="130" unbalanced="0"/>
    <cacheHierarchy uniqueName="[CleanedSheet].[Account_ID]" caption="Account_ID" attribute="1" defaultMemberUniqueName="[CleanedSheet].[Account_ID].[All]" allUniqueName="[CleanedSheet].[Account_ID].[All]" dimensionUniqueName="[CleanedSheet]" displayFolder="" count="0" memberValueDatatype="130" unbalanced="0"/>
    <cacheHierarchy uniqueName="[CleanedSheet].[Amount]" caption="Amount" attribute="1" defaultMemberUniqueName="[CleanedSheet].[Amount].[All]" allUniqueName="[CleanedSheet].[Amount].[All]" dimensionUniqueName="[CleanedSheet]" displayFolder="" count="0" memberValueDatatype="5" unbalanced="0"/>
    <cacheHierarchy uniqueName="[CleanedSheet].[Transaction_Details]" caption="Transaction_Details" attribute="1" defaultMemberUniqueName="[CleanedSheet].[Transaction_Details].[All]" allUniqueName="[CleanedSheet].[Transaction_Details].[All]" dimensionUniqueName="[CleanedSheet]" displayFolder="" count="0" memberValueDatatype="130" unbalanced="0"/>
    <cacheHierarchy uniqueName="[CleanedSheet].[Transaction_Type]" caption="Transaction_Type" attribute="1" defaultMemberUniqueName="[CleanedSheet].[Transaction_Type].[All]" allUniqueName="[CleanedSheet].[Transaction_Type].[All]" dimensionUniqueName="[CleanedSheet]" displayFolder="" count="0" memberValueDatatype="130" unbalanced="0"/>
    <cacheHierarchy uniqueName="[CleanedSheet].[Category]" caption="Category" attribute="1" defaultMemberUniqueName="[CleanedSheet].[Category].[All]" allUniqueName="[CleanedSheet].[Category].[All]" dimensionUniqueName="[CleanedSheet]" displayFolder="" count="0" memberValueDatatype="130" unbalanced="0"/>
    <cacheHierarchy uniqueName="[CleanedSheet].[Type]" caption="Type" attribute="1" defaultMemberUniqueName="[CleanedSheet].[Type].[All]" allUniqueName="[CleanedSheet].[Type].[All]" dimensionUniqueName="[CleanedSheet]" displayFolder="" count="0" memberValueDatatype="130" unbalanced="0"/>
    <cacheHierarchy uniqueName="[CleanedSheet].[Month_Sort]" caption="Month_Sort" attribute="1" defaultMemberUniqueName="[CleanedSheet].[Month_Sort].[All]" allUniqueName="[CleanedSheet].[Month_Sort].[All]" dimensionUniqueName="[CleanedSheet]" displayFolder="" count="0" memberValueDatatype="20" unbalanced="0"/>
    <cacheHierarchy uniqueName="[CleanedSheet].[Fiscal_Quarter]" caption="Fiscal_Quarter" attribute="1" defaultMemberUniqueName="[CleanedSheet].[Fiscal_Quarter].[All]" allUniqueName="[CleanedSheet].[Fiscal_Quarter].[All]" dimensionUniqueName="[CleanedSheet]" displayFolder="" count="0" memberValueDatatype="20" unbalanced="0"/>
    <cacheHierarchy uniqueName="[CleanedSheet].[Total]" caption="Total" attribute="1" defaultMemberUniqueName="[CleanedSheet].[Total].[All]" allUniqueName="[CleanedSheet].[Total].[All]" dimensionUniqueName="[CleanedSheet]" displayFolder="" count="0" memberValueDatatype="5" unbalanced="0"/>
    <cacheHierarchy uniqueName="[CleanedSheet].[Flow]" caption="Flow" attribute="1" defaultMemberUniqueName="[CleanedSheet].[Flow].[All]" allUniqueName="[CleanedSheet].[Flow].[All]" dimensionUniqueName="[CleanedSheet]" displayFolder="" count="2" memberValueDatatype="130" unbalanced="0">
      <fieldsUsage count="2">
        <fieldUsage x="-1"/>
        <fieldUsage x="0"/>
      </fieldsUsage>
    </cacheHierarchy>
    <cacheHierarchy uniqueName="[CleanedSheet].[Entity]" caption="Entity" attribute="1" defaultMemberUniqueName="[CleanedSheet].[Entity].[All]" allUniqueName="[CleanedSheet].[Entity].[All]" dimensionUniqueName="[CleanedSheet]" displayFolder="" count="0" memberValueDatatype="130" unbalanced="0"/>
    <cacheHierarchy uniqueName="[CleanedSheet].[Macro_Category]" caption="Macro_Category" attribute="1" defaultMemberUniqueName="[CleanedSheet].[Macro_Category].[All]" allUniqueName="[CleanedSheet].[Macro_Category].[All]" dimensionUniqueName="[CleanedSheet]" displayFolder="" count="2" memberValueDatatype="130" unbalanced="0">
      <fieldsUsage count="2">
        <fieldUsage x="-1"/>
        <fieldUsage x="1"/>
      </fieldsUsage>
    </cacheHierarchy>
    <cacheHierarchy uniqueName="[CleanedSheet].[Date Received (Month)]" caption="Date Received (Month)" attribute="1" defaultMemberUniqueName="[CleanedSheet].[Date Received (Month)].[All]" allUniqueName="[CleanedSheet].[Date Received (Month)].[All]" dimensionUniqueName="[CleanedSheet]" displayFolder="" count="2" memberValueDatatype="130" unbalanced="0">
      <fieldsUsage count="2">
        <fieldUsage x="-1"/>
        <fieldUsage x="3"/>
      </fieldsUsage>
    </cacheHierarchy>
    <cacheHierarchy uniqueName="[CleanedSheet].[Date Received (Month Index)]" caption="Date Received (Month Index)" attribute="1" defaultMemberUniqueName="[CleanedSheet].[Date Received (Month Index)].[All]" allUniqueName="[CleanedSheet].[Date Received (Month Index)].[All]" dimensionUniqueName="[CleanedSheet]" displayFolder="" count="0" memberValueDatatype="20" unbalanced="0" hidden="1"/>
    <cacheHierarchy uniqueName="[Measures].[Sum of Month_Sort]" caption="Sum of Month_Sort" measure="1" displayFolder="" measureGroup="CleanedSheet" count="0">
      <extLst>
        <ext xmlns:x15="http://schemas.microsoft.com/office/spreadsheetml/2010/11/main" uri="{B97F6D7D-B522-45F9-BDA1-12C45D357490}">
          <x15:cacheHierarchy aggregatedColumn="8"/>
        </ext>
      </extLst>
    </cacheHierarchy>
    <cacheHierarchy uniqueName="[Measures].[Sum of Amount]" caption="Sum of Amount" measure="1" displayFolder="" measureGroup="CleanedSheet" count="0" oneField="1">
      <fieldsUsage count="1">
        <fieldUsage x="2"/>
      </fieldsUsage>
      <extLst>
        <ext xmlns:x15="http://schemas.microsoft.com/office/spreadsheetml/2010/11/main" uri="{B97F6D7D-B522-45F9-BDA1-12C45D357490}">
          <x15:cacheHierarchy aggregatedColumn="3"/>
        </ext>
      </extLst>
    </cacheHierarchy>
    <cacheHierarchy uniqueName="[Measures].[Sum of Total]" caption="Sum of Total" measure="1" displayFolder="" measureGroup="CleanedSheet" count="0">
      <extLst>
        <ext xmlns:x15="http://schemas.microsoft.com/office/spreadsheetml/2010/11/main" uri="{B97F6D7D-B522-45F9-BDA1-12C45D357490}">
          <x15:cacheHierarchy aggregatedColumn="10"/>
        </ext>
      </extLst>
    </cacheHierarchy>
    <cacheHierarchy uniqueName="[Measures].[Sum of Fiscal_Quarter]" caption="Sum of Fiscal_Quarter" measure="1" displayFolder="" measureGroup="CleanedSheet" count="0">
      <extLst>
        <ext xmlns:x15="http://schemas.microsoft.com/office/spreadsheetml/2010/11/main" uri="{B97F6D7D-B522-45F9-BDA1-12C45D357490}">
          <x15:cacheHierarchy aggregatedColumn="9"/>
        </ext>
      </extLst>
    </cacheHierarchy>
    <cacheHierarchy uniqueName="[Measures].[True_Revenue]" caption="True_Revenue" measure="1" displayFolder="" measureGroup="CleanedSheet" count="0"/>
    <cacheHierarchy uniqueName="[Measures].[True_Expense]" caption="True_Expense" measure="1" displayFolder="" measureGroup="CleanedSheet" count="0"/>
    <cacheHierarchy uniqueName="[Measures].[Net_Profit]" caption="Net_Profit" measure="1" displayFolder="" measureGroup="CleanedSheet" count="0"/>
    <cacheHierarchy uniqueName="[Measures].[Saving Rates]" caption="Saving Rates" measure="1" displayFolder="" measureGroup="CleanedSheet" count="0"/>
    <cacheHierarchy uniqueName="[Measures].[Mapping Accuracy]" caption="Mapping Accuracy" measure="1" displayFolder="" measureGroup="CleanedSheet" count="0"/>
    <cacheHierarchy uniqueName="[Measures].[__XL_Count CleanedSheet]" caption="__XL_Count CleanedSheet" measure="1" displayFolder="" measureGroup="CleanedSheet" count="0" hidden="1"/>
    <cacheHierarchy uniqueName="[Measures].[__No measures defined]" caption="__No measures defined" measure="1" displayFolder="" count="0" hidden="1"/>
  </cacheHierarchies>
  <kpis count="0"/>
  <dimensions count="2">
    <dimension name="CleanedSheet" uniqueName="[CleanedSheet]" caption="CleanedSheet"/>
    <dimension measure="1" name="Measures" uniqueName="[Measures]" caption="Measures"/>
  </dimensions>
  <measureGroups count="1">
    <measureGroup name="CleanedSheet" caption="CleanedShe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tch" refreshedDate="46136.631157638891" backgroundQuery="1" createdVersion="8" refreshedVersion="8" minRefreshableVersion="3" recordCount="0" supportSubquery="1" supportAdvancedDrill="1" xr:uid="{14FB1EEB-03BC-463E-BC2E-DD80C49587DE}">
  <cacheSource type="external" connectionId="3"/>
  <cacheFields count="4">
    <cacheField name="[CleanedSheet].[Date Received (Month)].[Date Received (Month)]" caption="Date Received (Month)" numFmtId="0" hierarchy="14" level="1">
      <sharedItems count="12">
        <s v="Jan"/>
        <s v="Feb"/>
        <s v="Mar"/>
        <s v="Apr"/>
        <s v="May"/>
        <s v="Jun"/>
        <s v="Jul"/>
        <s v="Aug"/>
        <s v="Sep"/>
        <s v="Oct"/>
        <s v="Nov"/>
        <s v="Dec"/>
      </sharedItems>
    </cacheField>
    <cacheField name="[Measures].[True_Revenue]" caption="True_Revenue" numFmtId="0" hierarchy="20" level="32767"/>
    <cacheField name="[Measures].[True_Expense]" caption="True_Expense" numFmtId="0" hierarchy="21" level="32767"/>
    <cacheField name="[Measures].[Net_Profit]" caption="Net_Profit" numFmtId="0" hierarchy="22" level="32767"/>
  </cacheFields>
  <cacheHierarchies count="27">
    <cacheHierarchy uniqueName="[CleanedSheet].[Date Received]" caption="Date Received" attribute="1" time="1" defaultMemberUniqueName="[CleanedSheet].[Date Received].[All]" allUniqueName="[CleanedSheet].[Date Received].[All]" dimensionUniqueName="[CleanedSheet]" displayFolder="" count="0" memberValueDatatype="7" unbalanced="0"/>
    <cacheHierarchy uniqueName="[CleanedSheet].[Month]" caption="Month" attribute="1" defaultMemberUniqueName="[CleanedSheet].[Month].[All]" allUniqueName="[CleanedSheet].[Month].[All]" dimensionUniqueName="[CleanedSheet]" displayFolder="" count="0" memberValueDatatype="130" unbalanced="0"/>
    <cacheHierarchy uniqueName="[CleanedSheet].[Account_ID]" caption="Account_ID" attribute="1" defaultMemberUniqueName="[CleanedSheet].[Account_ID].[All]" allUniqueName="[CleanedSheet].[Account_ID].[All]" dimensionUniqueName="[CleanedSheet]" displayFolder="" count="0" memberValueDatatype="130" unbalanced="0"/>
    <cacheHierarchy uniqueName="[CleanedSheet].[Amount]" caption="Amount" attribute="1" defaultMemberUniqueName="[CleanedSheet].[Amount].[All]" allUniqueName="[CleanedSheet].[Amount].[All]" dimensionUniqueName="[CleanedSheet]" displayFolder="" count="0" memberValueDatatype="5" unbalanced="0"/>
    <cacheHierarchy uniqueName="[CleanedSheet].[Transaction_Details]" caption="Transaction_Details" attribute="1" defaultMemberUniqueName="[CleanedSheet].[Transaction_Details].[All]" allUniqueName="[CleanedSheet].[Transaction_Details].[All]" dimensionUniqueName="[CleanedSheet]" displayFolder="" count="0" memberValueDatatype="130" unbalanced="0"/>
    <cacheHierarchy uniqueName="[CleanedSheet].[Transaction_Type]" caption="Transaction_Type" attribute="1" defaultMemberUniqueName="[CleanedSheet].[Transaction_Type].[All]" allUniqueName="[CleanedSheet].[Transaction_Type].[All]" dimensionUniqueName="[CleanedSheet]" displayFolder="" count="0" memberValueDatatype="130" unbalanced="0"/>
    <cacheHierarchy uniqueName="[CleanedSheet].[Category]" caption="Category" attribute="1" defaultMemberUniqueName="[CleanedSheet].[Category].[All]" allUniqueName="[CleanedSheet].[Category].[All]" dimensionUniqueName="[CleanedSheet]" displayFolder="" count="0" memberValueDatatype="130" unbalanced="0"/>
    <cacheHierarchy uniqueName="[CleanedSheet].[Type]" caption="Type" attribute="1" defaultMemberUniqueName="[CleanedSheet].[Type].[All]" allUniqueName="[CleanedSheet].[Type].[All]" dimensionUniqueName="[CleanedSheet]" displayFolder="" count="0" memberValueDatatype="130" unbalanced="0"/>
    <cacheHierarchy uniqueName="[CleanedSheet].[Month_Sort]" caption="Month_Sort" attribute="1" defaultMemberUniqueName="[CleanedSheet].[Month_Sort].[All]" allUniqueName="[CleanedSheet].[Month_Sort].[All]" dimensionUniqueName="[CleanedSheet]" displayFolder="" count="0" memberValueDatatype="20" unbalanced="0"/>
    <cacheHierarchy uniqueName="[CleanedSheet].[Fiscal_Quarter]" caption="Fiscal_Quarter" attribute="1" defaultMemberUniqueName="[CleanedSheet].[Fiscal_Quarter].[All]" allUniqueName="[CleanedSheet].[Fiscal_Quarter].[All]" dimensionUniqueName="[CleanedSheet]" displayFolder="" count="0" memberValueDatatype="20" unbalanced="0"/>
    <cacheHierarchy uniqueName="[CleanedSheet].[Total]" caption="Total" attribute="1" defaultMemberUniqueName="[CleanedSheet].[Total].[All]" allUniqueName="[CleanedSheet].[Total].[All]" dimensionUniqueName="[CleanedSheet]" displayFolder="" count="0" memberValueDatatype="5" unbalanced="0"/>
    <cacheHierarchy uniqueName="[CleanedSheet].[Flow]" caption="Flow" attribute="1" defaultMemberUniqueName="[CleanedSheet].[Flow].[All]" allUniqueName="[CleanedSheet].[Flow].[All]" dimensionUniqueName="[CleanedSheet]" displayFolder="" count="0" memberValueDatatype="130" unbalanced="0"/>
    <cacheHierarchy uniqueName="[CleanedSheet].[Entity]" caption="Entity" attribute="1" defaultMemberUniqueName="[CleanedSheet].[Entity].[All]" allUniqueName="[CleanedSheet].[Entity].[All]" dimensionUniqueName="[CleanedSheet]" displayFolder="" count="0" memberValueDatatype="130" unbalanced="0"/>
    <cacheHierarchy uniqueName="[CleanedSheet].[Macro_Category]" caption="Macro_Category" attribute="1" defaultMemberUniqueName="[CleanedSheet].[Macro_Category].[All]" allUniqueName="[CleanedSheet].[Macro_Category].[All]" dimensionUniqueName="[CleanedSheet]" displayFolder="" count="0" memberValueDatatype="130" unbalanced="0"/>
    <cacheHierarchy uniqueName="[CleanedSheet].[Date Received (Month)]" caption="Date Received (Month)" attribute="1" defaultMemberUniqueName="[CleanedSheet].[Date Received (Month)].[All]" allUniqueName="[CleanedSheet].[Date Received (Month)].[All]" dimensionUniqueName="[CleanedSheet]" displayFolder="" count="2" memberValueDatatype="130" unbalanced="0">
      <fieldsUsage count="2">
        <fieldUsage x="-1"/>
        <fieldUsage x="0"/>
      </fieldsUsage>
    </cacheHierarchy>
    <cacheHierarchy uniqueName="[CleanedSheet].[Date Received (Month Index)]" caption="Date Received (Month Index)" attribute="1" defaultMemberUniqueName="[CleanedSheet].[Date Received (Month Index)].[All]" allUniqueName="[CleanedSheet].[Date Received (Month Index)].[All]" dimensionUniqueName="[CleanedSheet]" displayFolder="" count="0" memberValueDatatype="20" unbalanced="0" hidden="1"/>
    <cacheHierarchy uniqueName="[Measures].[Sum of Month_Sort]" caption="Sum of Month_Sort" measure="1" displayFolder="" measureGroup="CleanedSheet" count="0">
      <extLst>
        <ext xmlns:x15="http://schemas.microsoft.com/office/spreadsheetml/2010/11/main" uri="{B97F6D7D-B522-45F9-BDA1-12C45D357490}">
          <x15:cacheHierarchy aggregatedColumn="8"/>
        </ext>
      </extLst>
    </cacheHierarchy>
    <cacheHierarchy uniqueName="[Measures].[Sum of Amount]" caption="Sum of Amount" measure="1" displayFolder="" measureGroup="CleanedSheet" count="0">
      <extLst>
        <ext xmlns:x15="http://schemas.microsoft.com/office/spreadsheetml/2010/11/main" uri="{B97F6D7D-B522-45F9-BDA1-12C45D357490}">
          <x15:cacheHierarchy aggregatedColumn="3"/>
        </ext>
      </extLst>
    </cacheHierarchy>
    <cacheHierarchy uniqueName="[Measures].[Sum of Total]" caption="Sum of Total" measure="1" displayFolder="" measureGroup="CleanedSheet" count="0">
      <extLst>
        <ext xmlns:x15="http://schemas.microsoft.com/office/spreadsheetml/2010/11/main" uri="{B97F6D7D-B522-45F9-BDA1-12C45D357490}">
          <x15:cacheHierarchy aggregatedColumn="10"/>
        </ext>
      </extLst>
    </cacheHierarchy>
    <cacheHierarchy uniqueName="[Measures].[Sum of Fiscal_Quarter]" caption="Sum of Fiscal_Quarter" measure="1" displayFolder="" measureGroup="CleanedSheet" count="0">
      <extLst>
        <ext xmlns:x15="http://schemas.microsoft.com/office/spreadsheetml/2010/11/main" uri="{B97F6D7D-B522-45F9-BDA1-12C45D357490}">
          <x15:cacheHierarchy aggregatedColumn="9"/>
        </ext>
      </extLst>
    </cacheHierarchy>
    <cacheHierarchy uniqueName="[Measures].[True_Revenue]" caption="True_Revenue" measure="1" displayFolder="" measureGroup="CleanedSheet" count="0" oneField="1">
      <fieldsUsage count="1">
        <fieldUsage x="1"/>
      </fieldsUsage>
    </cacheHierarchy>
    <cacheHierarchy uniqueName="[Measures].[True_Expense]" caption="True_Expense" measure="1" displayFolder="" measureGroup="CleanedSheet" count="0" oneField="1">
      <fieldsUsage count="1">
        <fieldUsage x="2"/>
      </fieldsUsage>
    </cacheHierarchy>
    <cacheHierarchy uniqueName="[Measures].[Net_Profit]" caption="Net_Profit" measure="1" displayFolder="" measureGroup="CleanedSheet" count="0" oneField="1">
      <fieldsUsage count="1">
        <fieldUsage x="3"/>
      </fieldsUsage>
    </cacheHierarchy>
    <cacheHierarchy uniqueName="[Measures].[Saving Rates]" caption="Saving Rates" measure="1" displayFolder="" measureGroup="CleanedSheet" count="0"/>
    <cacheHierarchy uniqueName="[Measures].[Mapping Accuracy]" caption="Mapping Accuracy" measure="1" displayFolder="" measureGroup="CleanedSheet" count="0"/>
    <cacheHierarchy uniqueName="[Measures].[__XL_Count CleanedSheet]" caption="__XL_Count CleanedSheet" measure="1" displayFolder="" measureGroup="CleanedSheet" count="0" hidden="1"/>
    <cacheHierarchy uniqueName="[Measures].[__No measures defined]" caption="__No measures defined" measure="1" displayFolder="" count="0" hidden="1"/>
  </cacheHierarchies>
  <kpis count="0"/>
  <dimensions count="2">
    <dimension name="CleanedSheet" uniqueName="[CleanedSheet]" caption="CleanedSheet"/>
    <dimension measure="1" name="Measures" uniqueName="[Measures]" caption="Measures"/>
  </dimensions>
  <measureGroups count="1">
    <measureGroup name="CleanedSheet" caption="CleanedShe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tch" refreshedDate="46136.631158449076" backgroundQuery="1" createdVersion="8" refreshedVersion="8" minRefreshableVersion="3" recordCount="0" supportSubquery="1" supportAdvancedDrill="1" xr:uid="{E46B8C74-E78C-4DFF-9B77-7BCAEABC952F}">
  <cacheSource type="external" connectionId="3"/>
  <cacheFields count="5">
    <cacheField name="[CleanedSheet].[Macro_Category].[Macro_Category]" caption="Macro_Category" numFmtId="0" hierarchy="13" level="1">
      <sharedItems count="1">
        <s v="Monthly Savings"/>
      </sharedItems>
    </cacheField>
    <cacheField name="[CleanedSheet].[Date Received (Month)].[Date Received (Month)]" caption="Date Received (Month)" numFmtId="0" hierarchy="14" level="1">
      <sharedItems count="12">
        <s v="Jan"/>
        <s v="Feb"/>
        <s v="Mar"/>
        <s v="Apr"/>
        <s v="May"/>
        <s v="Jun"/>
        <s v="Jul"/>
        <s v="Aug"/>
        <s v="Sep"/>
        <s v="Oct"/>
        <s v="Nov"/>
        <s v="Dec"/>
      </sharedItems>
    </cacheField>
    <cacheField name="[Measures].[Sum of Amount]" caption="Sum of Amount" numFmtId="0" hierarchy="17" level="32767"/>
    <cacheField name="[Measures].[True_Revenue]" caption="True_Revenue" numFmtId="0" hierarchy="20" level="32767"/>
    <cacheField name="[Measures].[Saving Rates]" caption="Saving Rates" numFmtId="0" hierarchy="23" level="32767"/>
  </cacheFields>
  <cacheHierarchies count="27">
    <cacheHierarchy uniqueName="[CleanedSheet].[Date Received]" caption="Date Received" attribute="1" time="1" defaultMemberUniqueName="[CleanedSheet].[Date Received].[All]" allUniqueName="[CleanedSheet].[Date Received].[All]" dimensionUniqueName="[CleanedSheet]" displayFolder="" count="0" memberValueDatatype="7" unbalanced="0"/>
    <cacheHierarchy uniqueName="[CleanedSheet].[Month]" caption="Month" attribute="1" defaultMemberUniqueName="[CleanedSheet].[Month].[All]" allUniqueName="[CleanedSheet].[Month].[All]" dimensionUniqueName="[CleanedSheet]" displayFolder="" count="0" memberValueDatatype="130" unbalanced="0"/>
    <cacheHierarchy uniqueName="[CleanedSheet].[Account_ID]" caption="Account_ID" attribute="1" defaultMemberUniqueName="[CleanedSheet].[Account_ID].[All]" allUniqueName="[CleanedSheet].[Account_ID].[All]" dimensionUniqueName="[CleanedSheet]" displayFolder="" count="0" memberValueDatatype="130" unbalanced="0"/>
    <cacheHierarchy uniqueName="[CleanedSheet].[Amount]" caption="Amount" attribute="1" defaultMemberUniqueName="[CleanedSheet].[Amount].[All]" allUniqueName="[CleanedSheet].[Amount].[All]" dimensionUniqueName="[CleanedSheet]" displayFolder="" count="0" memberValueDatatype="5" unbalanced="0"/>
    <cacheHierarchy uniqueName="[CleanedSheet].[Transaction_Details]" caption="Transaction_Details" attribute="1" defaultMemberUniqueName="[CleanedSheet].[Transaction_Details].[All]" allUniqueName="[CleanedSheet].[Transaction_Details].[All]" dimensionUniqueName="[CleanedSheet]" displayFolder="" count="0" memberValueDatatype="130" unbalanced="0"/>
    <cacheHierarchy uniqueName="[CleanedSheet].[Transaction_Type]" caption="Transaction_Type" attribute="1" defaultMemberUniqueName="[CleanedSheet].[Transaction_Type].[All]" allUniqueName="[CleanedSheet].[Transaction_Type].[All]" dimensionUniqueName="[CleanedSheet]" displayFolder="" count="0" memberValueDatatype="130" unbalanced="0"/>
    <cacheHierarchy uniqueName="[CleanedSheet].[Category]" caption="Category" attribute="1" defaultMemberUniqueName="[CleanedSheet].[Category].[All]" allUniqueName="[CleanedSheet].[Category].[All]" dimensionUniqueName="[CleanedSheet]" displayFolder="" count="0" memberValueDatatype="130" unbalanced="0"/>
    <cacheHierarchy uniqueName="[CleanedSheet].[Type]" caption="Type" attribute="1" defaultMemberUniqueName="[CleanedSheet].[Type].[All]" allUniqueName="[CleanedSheet].[Type].[All]" dimensionUniqueName="[CleanedSheet]" displayFolder="" count="0" memberValueDatatype="130" unbalanced="0"/>
    <cacheHierarchy uniqueName="[CleanedSheet].[Month_Sort]" caption="Month_Sort" attribute="1" defaultMemberUniqueName="[CleanedSheet].[Month_Sort].[All]" allUniqueName="[CleanedSheet].[Month_Sort].[All]" dimensionUniqueName="[CleanedSheet]" displayFolder="" count="0" memberValueDatatype="20" unbalanced="0"/>
    <cacheHierarchy uniqueName="[CleanedSheet].[Fiscal_Quarter]" caption="Fiscal_Quarter" attribute="1" defaultMemberUniqueName="[CleanedSheet].[Fiscal_Quarter].[All]" allUniqueName="[CleanedSheet].[Fiscal_Quarter].[All]" dimensionUniqueName="[CleanedSheet]" displayFolder="" count="0" memberValueDatatype="20" unbalanced="0"/>
    <cacheHierarchy uniqueName="[CleanedSheet].[Total]" caption="Total" attribute="1" defaultMemberUniqueName="[CleanedSheet].[Total].[All]" allUniqueName="[CleanedSheet].[Total].[All]" dimensionUniqueName="[CleanedSheet]" displayFolder="" count="0" memberValueDatatype="5" unbalanced="0"/>
    <cacheHierarchy uniqueName="[CleanedSheet].[Flow]" caption="Flow" attribute="1" defaultMemberUniqueName="[CleanedSheet].[Flow].[All]" allUniqueName="[CleanedSheet].[Flow].[All]" dimensionUniqueName="[CleanedSheet]" displayFolder="" count="0" memberValueDatatype="130" unbalanced="0"/>
    <cacheHierarchy uniqueName="[CleanedSheet].[Entity]" caption="Entity" attribute="1" defaultMemberUniqueName="[CleanedSheet].[Entity].[All]" allUniqueName="[CleanedSheet].[Entity].[All]" dimensionUniqueName="[CleanedSheet]" displayFolder="" count="0" memberValueDatatype="130" unbalanced="0"/>
    <cacheHierarchy uniqueName="[CleanedSheet].[Macro_Category]" caption="Macro_Category" attribute="1" defaultMemberUniqueName="[CleanedSheet].[Macro_Category].[All]" allUniqueName="[CleanedSheet].[Macro_Category].[All]" dimensionUniqueName="[CleanedSheet]" displayFolder="" count="2" memberValueDatatype="130" unbalanced="0">
      <fieldsUsage count="2">
        <fieldUsage x="-1"/>
        <fieldUsage x="0"/>
      </fieldsUsage>
    </cacheHierarchy>
    <cacheHierarchy uniqueName="[CleanedSheet].[Date Received (Month)]" caption="Date Received (Month)" attribute="1" defaultMemberUniqueName="[CleanedSheet].[Date Received (Month)].[All]" allUniqueName="[CleanedSheet].[Date Received (Month)].[All]" dimensionUniqueName="[CleanedSheet]" displayFolder="" count="2" memberValueDatatype="130" unbalanced="0">
      <fieldsUsage count="2">
        <fieldUsage x="-1"/>
        <fieldUsage x="1"/>
      </fieldsUsage>
    </cacheHierarchy>
    <cacheHierarchy uniqueName="[CleanedSheet].[Date Received (Month Index)]" caption="Date Received (Month Index)" attribute="1" defaultMemberUniqueName="[CleanedSheet].[Date Received (Month Index)].[All]" allUniqueName="[CleanedSheet].[Date Received (Month Index)].[All]" dimensionUniqueName="[CleanedSheet]" displayFolder="" count="0" memberValueDatatype="20" unbalanced="0" hidden="1"/>
    <cacheHierarchy uniqueName="[Measures].[Sum of Month_Sort]" caption="Sum of Month_Sort" measure="1" displayFolder="" measureGroup="CleanedSheet" count="0">
      <extLst>
        <ext xmlns:x15="http://schemas.microsoft.com/office/spreadsheetml/2010/11/main" uri="{B97F6D7D-B522-45F9-BDA1-12C45D357490}">
          <x15:cacheHierarchy aggregatedColumn="8"/>
        </ext>
      </extLst>
    </cacheHierarchy>
    <cacheHierarchy uniqueName="[Measures].[Sum of Amount]" caption="Sum of Amount" measure="1" displayFolder="" measureGroup="CleanedSheet" count="0" oneField="1">
      <fieldsUsage count="1">
        <fieldUsage x="2"/>
      </fieldsUsage>
      <extLst>
        <ext xmlns:x15="http://schemas.microsoft.com/office/spreadsheetml/2010/11/main" uri="{B97F6D7D-B522-45F9-BDA1-12C45D357490}">
          <x15:cacheHierarchy aggregatedColumn="3"/>
        </ext>
      </extLst>
    </cacheHierarchy>
    <cacheHierarchy uniqueName="[Measures].[Sum of Total]" caption="Sum of Total" measure="1" displayFolder="" measureGroup="CleanedSheet" count="0">
      <extLst>
        <ext xmlns:x15="http://schemas.microsoft.com/office/spreadsheetml/2010/11/main" uri="{B97F6D7D-B522-45F9-BDA1-12C45D357490}">
          <x15:cacheHierarchy aggregatedColumn="10"/>
        </ext>
      </extLst>
    </cacheHierarchy>
    <cacheHierarchy uniqueName="[Measures].[Sum of Fiscal_Quarter]" caption="Sum of Fiscal_Quarter" measure="1" displayFolder="" measureGroup="CleanedSheet" count="0">
      <extLst>
        <ext xmlns:x15="http://schemas.microsoft.com/office/spreadsheetml/2010/11/main" uri="{B97F6D7D-B522-45F9-BDA1-12C45D357490}">
          <x15:cacheHierarchy aggregatedColumn="9"/>
        </ext>
      </extLst>
    </cacheHierarchy>
    <cacheHierarchy uniqueName="[Measures].[True_Revenue]" caption="True_Revenue" measure="1" displayFolder="" measureGroup="CleanedSheet" count="0" oneField="1">
      <fieldsUsage count="1">
        <fieldUsage x="3"/>
      </fieldsUsage>
    </cacheHierarchy>
    <cacheHierarchy uniqueName="[Measures].[True_Expense]" caption="True_Expense" measure="1" displayFolder="" measureGroup="CleanedSheet" count="0"/>
    <cacheHierarchy uniqueName="[Measures].[Net_Profit]" caption="Net_Profit" measure="1" displayFolder="" measureGroup="CleanedSheet" count="0"/>
    <cacheHierarchy uniqueName="[Measures].[Saving Rates]" caption="Saving Rates" measure="1" displayFolder="" measureGroup="CleanedSheet" count="0" oneField="1">
      <fieldsUsage count="1">
        <fieldUsage x="4"/>
      </fieldsUsage>
    </cacheHierarchy>
    <cacheHierarchy uniqueName="[Measures].[Mapping Accuracy]" caption="Mapping Accuracy" measure="1" displayFolder="" measureGroup="CleanedSheet" count="0"/>
    <cacheHierarchy uniqueName="[Measures].[__XL_Count CleanedSheet]" caption="__XL_Count CleanedSheet" measure="1" displayFolder="" measureGroup="CleanedSheet" count="0" hidden="1"/>
    <cacheHierarchy uniqueName="[Measures].[__No measures defined]" caption="__No measures defined" measure="1" displayFolder="" count="0" hidden="1"/>
  </cacheHierarchies>
  <kpis count="0"/>
  <dimensions count="2">
    <dimension name="CleanedSheet" uniqueName="[CleanedSheet]" caption="CleanedSheet"/>
    <dimension measure="1" name="Measures" uniqueName="[Measures]" caption="Measures"/>
  </dimensions>
  <measureGroups count="1">
    <measureGroup name="CleanedSheet" caption="CleanedShe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tch" refreshedDate="46136.631159027776" backgroundQuery="1" createdVersion="8" refreshedVersion="8" minRefreshableVersion="3" recordCount="0" supportSubquery="1" supportAdvancedDrill="1" xr:uid="{6E269ABA-94F9-435B-BDAF-1AF8E42039C9}">
  <cacheSource type="external" connectionId="3"/>
  <cacheFields count="4">
    <cacheField name="[CleanedSheet].[Macro_Category].[Macro_Category]" caption="Macro_Category" numFmtId="0" hierarchy="13" level="1">
      <sharedItems count="11">
        <s v="Financial Account"/>
        <s v="Fixed Expense"/>
        <s v="Ginvestment"/>
        <s v="Government Payment"/>
        <s v="Miscellaneous"/>
        <s v="Monthly Expense"/>
        <s v="Monthly Savings"/>
        <s v="Payments"/>
        <s v="Personal Expense"/>
        <s v="Repayment"/>
        <s v="Unreconciled"/>
      </sharedItems>
    </cacheField>
    <cacheField name="[Measures].[Sum of Amount]" caption="Sum of Amount" numFmtId="0" hierarchy="17" level="32767"/>
    <cacheField name="[Measures].[Mapping Accuracy]" caption="Mapping Accuracy" numFmtId="0" hierarchy="24" level="32767"/>
    <cacheField name="[CleanedSheet].[Date Received (Month)].[Date Received (Month)]" caption="Date Received (Month)" numFmtId="0" hierarchy="14" level="1">
      <sharedItems containsSemiMixedTypes="0" containsNonDate="0" containsString="0"/>
    </cacheField>
  </cacheFields>
  <cacheHierarchies count="27">
    <cacheHierarchy uniqueName="[CleanedSheet].[Date Received]" caption="Date Received" attribute="1" time="1" defaultMemberUniqueName="[CleanedSheet].[Date Received].[All]" allUniqueName="[CleanedSheet].[Date Received].[All]" dimensionUniqueName="[CleanedSheet]" displayFolder="" count="0" memberValueDatatype="7" unbalanced="0"/>
    <cacheHierarchy uniqueName="[CleanedSheet].[Month]" caption="Month" attribute="1" defaultMemberUniqueName="[CleanedSheet].[Month].[All]" allUniqueName="[CleanedSheet].[Month].[All]" dimensionUniqueName="[CleanedSheet]" displayFolder="" count="0" memberValueDatatype="130" unbalanced="0"/>
    <cacheHierarchy uniqueName="[CleanedSheet].[Account_ID]" caption="Account_ID" attribute="1" defaultMemberUniqueName="[CleanedSheet].[Account_ID].[All]" allUniqueName="[CleanedSheet].[Account_ID].[All]" dimensionUniqueName="[CleanedSheet]" displayFolder="" count="0" memberValueDatatype="130" unbalanced="0"/>
    <cacheHierarchy uniqueName="[CleanedSheet].[Amount]" caption="Amount" attribute="1" defaultMemberUniqueName="[CleanedSheet].[Amount].[All]" allUniqueName="[CleanedSheet].[Amount].[All]" dimensionUniqueName="[CleanedSheet]" displayFolder="" count="0" memberValueDatatype="5" unbalanced="0"/>
    <cacheHierarchy uniqueName="[CleanedSheet].[Transaction_Details]" caption="Transaction_Details" attribute="1" defaultMemberUniqueName="[CleanedSheet].[Transaction_Details].[All]" allUniqueName="[CleanedSheet].[Transaction_Details].[All]" dimensionUniqueName="[CleanedSheet]" displayFolder="" count="0" memberValueDatatype="130" unbalanced="0"/>
    <cacheHierarchy uniqueName="[CleanedSheet].[Transaction_Type]" caption="Transaction_Type" attribute="1" defaultMemberUniqueName="[CleanedSheet].[Transaction_Type].[All]" allUniqueName="[CleanedSheet].[Transaction_Type].[All]" dimensionUniqueName="[CleanedSheet]" displayFolder="" count="0" memberValueDatatype="130" unbalanced="0"/>
    <cacheHierarchy uniqueName="[CleanedSheet].[Category]" caption="Category" attribute="1" defaultMemberUniqueName="[CleanedSheet].[Category].[All]" allUniqueName="[CleanedSheet].[Category].[All]" dimensionUniqueName="[CleanedSheet]" displayFolder="" count="0" memberValueDatatype="130" unbalanced="0"/>
    <cacheHierarchy uniqueName="[CleanedSheet].[Type]" caption="Type" attribute="1" defaultMemberUniqueName="[CleanedSheet].[Type].[All]" allUniqueName="[CleanedSheet].[Type].[All]" dimensionUniqueName="[CleanedSheet]" displayFolder="" count="0" memberValueDatatype="130" unbalanced="0"/>
    <cacheHierarchy uniqueName="[CleanedSheet].[Month_Sort]" caption="Month_Sort" attribute="1" defaultMemberUniqueName="[CleanedSheet].[Month_Sort].[All]" allUniqueName="[CleanedSheet].[Month_Sort].[All]" dimensionUniqueName="[CleanedSheet]" displayFolder="" count="0" memberValueDatatype="20" unbalanced="0"/>
    <cacheHierarchy uniqueName="[CleanedSheet].[Fiscal_Quarter]" caption="Fiscal_Quarter" attribute="1" defaultMemberUniqueName="[CleanedSheet].[Fiscal_Quarter].[All]" allUniqueName="[CleanedSheet].[Fiscal_Quarter].[All]" dimensionUniqueName="[CleanedSheet]" displayFolder="" count="0" memberValueDatatype="20" unbalanced="0"/>
    <cacheHierarchy uniqueName="[CleanedSheet].[Total]" caption="Total" attribute="1" defaultMemberUniqueName="[CleanedSheet].[Total].[All]" allUniqueName="[CleanedSheet].[Total].[All]" dimensionUniqueName="[CleanedSheet]" displayFolder="" count="0" memberValueDatatype="5" unbalanced="0"/>
    <cacheHierarchy uniqueName="[CleanedSheet].[Flow]" caption="Flow" attribute="1" defaultMemberUniqueName="[CleanedSheet].[Flow].[All]" allUniqueName="[CleanedSheet].[Flow].[All]" dimensionUniqueName="[CleanedSheet]" displayFolder="" count="0" memberValueDatatype="130" unbalanced="0"/>
    <cacheHierarchy uniqueName="[CleanedSheet].[Entity]" caption="Entity" attribute="1" defaultMemberUniqueName="[CleanedSheet].[Entity].[All]" allUniqueName="[CleanedSheet].[Entity].[All]" dimensionUniqueName="[CleanedSheet]" displayFolder="" count="0" memberValueDatatype="130" unbalanced="0"/>
    <cacheHierarchy uniqueName="[CleanedSheet].[Macro_Category]" caption="Macro_Category" attribute="1" defaultMemberUniqueName="[CleanedSheet].[Macro_Category].[All]" allUniqueName="[CleanedSheet].[Macro_Category].[All]" dimensionUniqueName="[CleanedSheet]" displayFolder="" count="2" memberValueDatatype="130" unbalanced="0">
      <fieldsUsage count="2">
        <fieldUsage x="-1"/>
        <fieldUsage x="0"/>
      </fieldsUsage>
    </cacheHierarchy>
    <cacheHierarchy uniqueName="[CleanedSheet].[Date Received (Month)]" caption="Date Received (Month)" attribute="1" defaultMemberUniqueName="[CleanedSheet].[Date Received (Month)].[All]" allUniqueName="[CleanedSheet].[Date Received (Month)].[All]" dimensionUniqueName="[CleanedSheet]" displayFolder="" count="2" memberValueDatatype="130" unbalanced="0">
      <fieldsUsage count="2">
        <fieldUsage x="-1"/>
        <fieldUsage x="3"/>
      </fieldsUsage>
    </cacheHierarchy>
    <cacheHierarchy uniqueName="[CleanedSheet].[Date Received (Month Index)]" caption="Date Received (Month Index)" attribute="1" defaultMemberUniqueName="[CleanedSheet].[Date Received (Month Index)].[All]" allUniqueName="[CleanedSheet].[Date Received (Month Index)].[All]" dimensionUniqueName="[CleanedSheet]" displayFolder="" count="0" memberValueDatatype="20" unbalanced="0" hidden="1"/>
    <cacheHierarchy uniqueName="[Measures].[Sum of Month_Sort]" caption="Sum of Month_Sort" measure="1" displayFolder="" measureGroup="CleanedSheet" count="0">
      <extLst>
        <ext xmlns:x15="http://schemas.microsoft.com/office/spreadsheetml/2010/11/main" uri="{B97F6D7D-B522-45F9-BDA1-12C45D357490}">
          <x15:cacheHierarchy aggregatedColumn="8"/>
        </ext>
      </extLst>
    </cacheHierarchy>
    <cacheHierarchy uniqueName="[Measures].[Sum of Amount]" caption="Sum of Amount" measure="1" displayFolder="" measureGroup="CleanedSheet" count="0" oneField="1">
      <fieldsUsage count="1">
        <fieldUsage x="1"/>
      </fieldsUsage>
      <extLst>
        <ext xmlns:x15="http://schemas.microsoft.com/office/spreadsheetml/2010/11/main" uri="{B97F6D7D-B522-45F9-BDA1-12C45D357490}">
          <x15:cacheHierarchy aggregatedColumn="3"/>
        </ext>
      </extLst>
    </cacheHierarchy>
    <cacheHierarchy uniqueName="[Measures].[Sum of Total]" caption="Sum of Total" measure="1" displayFolder="" measureGroup="CleanedSheet" count="0">
      <extLst>
        <ext xmlns:x15="http://schemas.microsoft.com/office/spreadsheetml/2010/11/main" uri="{B97F6D7D-B522-45F9-BDA1-12C45D357490}">
          <x15:cacheHierarchy aggregatedColumn="10"/>
        </ext>
      </extLst>
    </cacheHierarchy>
    <cacheHierarchy uniqueName="[Measures].[Sum of Fiscal_Quarter]" caption="Sum of Fiscal_Quarter" measure="1" displayFolder="" measureGroup="CleanedSheet" count="0">
      <extLst>
        <ext xmlns:x15="http://schemas.microsoft.com/office/spreadsheetml/2010/11/main" uri="{B97F6D7D-B522-45F9-BDA1-12C45D357490}">
          <x15:cacheHierarchy aggregatedColumn="9"/>
        </ext>
      </extLst>
    </cacheHierarchy>
    <cacheHierarchy uniqueName="[Measures].[True_Revenue]" caption="True_Revenue" measure="1" displayFolder="" measureGroup="CleanedSheet" count="0"/>
    <cacheHierarchy uniqueName="[Measures].[True_Expense]" caption="True_Expense" measure="1" displayFolder="" measureGroup="CleanedSheet" count="0"/>
    <cacheHierarchy uniqueName="[Measures].[Net_Profit]" caption="Net_Profit" measure="1" displayFolder="" measureGroup="CleanedSheet" count="0"/>
    <cacheHierarchy uniqueName="[Measures].[Saving Rates]" caption="Saving Rates" measure="1" displayFolder="" measureGroup="CleanedSheet" count="0"/>
    <cacheHierarchy uniqueName="[Measures].[Mapping Accuracy]" caption="Mapping Accuracy" measure="1" displayFolder="" measureGroup="CleanedSheet" count="0" oneField="1">
      <fieldsUsage count="1">
        <fieldUsage x="2"/>
      </fieldsUsage>
    </cacheHierarchy>
    <cacheHierarchy uniqueName="[Measures].[__XL_Count CleanedSheet]" caption="__XL_Count CleanedSheet" measure="1" displayFolder="" measureGroup="CleanedSheet" count="0" hidden="1"/>
    <cacheHierarchy uniqueName="[Measures].[__No measures defined]" caption="__No measures defined" measure="1" displayFolder="" count="0" hidden="1"/>
  </cacheHierarchies>
  <kpis count="0"/>
  <dimensions count="2">
    <dimension name="CleanedSheet" uniqueName="[CleanedSheet]" caption="CleanedSheet"/>
    <dimension measure="1" name="Measures" uniqueName="[Measures]" caption="Measures"/>
  </dimensions>
  <measureGroups count="1">
    <measureGroup name="CleanedSheet" caption="CleanedShe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tch" refreshedDate="46136.631159606484" backgroundQuery="1" createdVersion="8" refreshedVersion="8" minRefreshableVersion="3" recordCount="0" supportSubquery="1" supportAdvancedDrill="1" xr:uid="{581E6EEC-DD44-47CD-A176-808B9E63B8F1}">
  <cacheSource type="external" connectionId="3"/>
  <cacheFields count="3">
    <cacheField name="[CleanedSheet].[Macro_Category].[Macro_Category]" caption="Macro_Category" numFmtId="0" hierarchy="13" level="1">
      <sharedItems count="1">
        <s v="Unreconciled"/>
      </sharedItems>
    </cacheField>
    <cacheField name="[Measures].[Sum of Amount]" caption="Sum of Amount" numFmtId="0" hierarchy="17" level="32767"/>
    <cacheField name="[CleanedSheet].[Date Received (Month)].[Date Received (Month)]" caption="Date Received (Month)" numFmtId="0" hierarchy="14" level="1">
      <sharedItems count="10">
        <s v="Jan"/>
        <s v="Feb"/>
        <s v="Mar"/>
        <s v="Apr"/>
        <s v="May"/>
        <s v="Jun"/>
        <s v="Jul"/>
        <s v="Aug"/>
        <s v="Oct"/>
        <s v="Nov"/>
      </sharedItems>
    </cacheField>
  </cacheFields>
  <cacheHierarchies count="27">
    <cacheHierarchy uniqueName="[CleanedSheet].[Date Received]" caption="Date Received" attribute="1" time="1" defaultMemberUniqueName="[CleanedSheet].[Date Received].[All]" allUniqueName="[CleanedSheet].[Date Received].[All]" dimensionUniqueName="[CleanedSheet]" displayFolder="" count="0" memberValueDatatype="7" unbalanced="0"/>
    <cacheHierarchy uniqueName="[CleanedSheet].[Month]" caption="Month" attribute="1" defaultMemberUniqueName="[CleanedSheet].[Month].[All]" allUniqueName="[CleanedSheet].[Month].[All]" dimensionUniqueName="[CleanedSheet]" displayFolder="" count="0" memberValueDatatype="130" unbalanced="0"/>
    <cacheHierarchy uniqueName="[CleanedSheet].[Account_ID]" caption="Account_ID" attribute="1" defaultMemberUniqueName="[CleanedSheet].[Account_ID].[All]" allUniqueName="[CleanedSheet].[Account_ID].[All]" dimensionUniqueName="[CleanedSheet]" displayFolder="" count="0" memberValueDatatype="130" unbalanced="0"/>
    <cacheHierarchy uniqueName="[CleanedSheet].[Amount]" caption="Amount" attribute="1" defaultMemberUniqueName="[CleanedSheet].[Amount].[All]" allUniqueName="[CleanedSheet].[Amount].[All]" dimensionUniqueName="[CleanedSheet]" displayFolder="" count="0" memberValueDatatype="5" unbalanced="0"/>
    <cacheHierarchy uniqueName="[CleanedSheet].[Transaction_Details]" caption="Transaction_Details" attribute="1" defaultMemberUniqueName="[CleanedSheet].[Transaction_Details].[All]" allUniqueName="[CleanedSheet].[Transaction_Details].[All]" dimensionUniqueName="[CleanedSheet]" displayFolder="" count="0" memberValueDatatype="130" unbalanced="0"/>
    <cacheHierarchy uniqueName="[CleanedSheet].[Transaction_Type]" caption="Transaction_Type" attribute="1" defaultMemberUniqueName="[CleanedSheet].[Transaction_Type].[All]" allUniqueName="[CleanedSheet].[Transaction_Type].[All]" dimensionUniqueName="[CleanedSheet]" displayFolder="" count="0" memberValueDatatype="130" unbalanced="0"/>
    <cacheHierarchy uniqueName="[CleanedSheet].[Category]" caption="Category" attribute="1" defaultMemberUniqueName="[CleanedSheet].[Category].[All]" allUniqueName="[CleanedSheet].[Category].[All]" dimensionUniqueName="[CleanedSheet]" displayFolder="" count="0" memberValueDatatype="130" unbalanced="0"/>
    <cacheHierarchy uniqueName="[CleanedSheet].[Type]" caption="Type" attribute="1" defaultMemberUniqueName="[CleanedSheet].[Type].[All]" allUniqueName="[CleanedSheet].[Type].[All]" dimensionUniqueName="[CleanedSheet]" displayFolder="" count="0" memberValueDatatype="130" unbalanced="0"/>
    <cacheHierarchy uniqueName="[CleanedSheet].[Month_Sort]" caption="Month_Sort" attribute="1" defaultMemberUniqueName="[CleanedSheet].[Month_Sort].[All]" allUniqueName="[CleanedSheet].[Month_Sort].[All]" dimensionUniqueName="[CleanedSheet]" displayFolder="" count="0" memberValueDatatype="20" unbalanced="0"/>
    <cacheHierarchy uniqueName="[CleanedSheet].[Fiscal_Quarter]" caption="Fiscal_Quarter" attribute="1" defaultMemberUniqueName="[CleanedSheet].[Fiscal_Quarter].[All]" allUniqueName="[CleanedSheet].[Fiscal_Quarter].[All]" dimensionUniqueName="[CleanedSheet]" displayFolder="" count="0" memberValueDatatype="20" unbalanced="0"/>
    <cacheHierarchy uniqueName="[CleanedSheet].[Total]" caption="Total" attribute="1" defaultMemberUniqueName="[CleanedSheet].[Total].[All]" allUniqueName="[CleanedSheet].[Total].[All]" dimensionUniqueName="[CleanedSheet]" displayFolder="" count="0" memberValueDatatype="5" unbalanced="0"/>
    <cacheHierarchy uniqueName="[CleanedSheet].[Flow]" caption="Flow" attribute="1" defaultMemberUniqueName="[CleanedSheet].[Flow].[All]" allUniqueName="[CleanedSheet].[Flow].[All]" dimensionUniqueName="[CleanedSheet]" displayFolder="" count="0" memberValueDatatype="130" unbalanced="0"/>
    <cacheHierarchy uniqueName="[CleanedSheet].[Entity]" caption="Entity" attribute="1" defaultMemberUniqueName="[CleanedSheet].[Entity].[All]" allUniqueName="[CleanedSheet].[Entity].[All]" dimensionUniqueName="[CleanedSheet]" displayFolder="" count="0" memberValueDatatype="130" unbalanced="0"/>
    <cacheHierarchy uniqueName="[CleanedSheet].[Macro_Category]" caption="Macro_Category" attribute="1" defaultMemberUniqueName="[CleanedSheet].[Macro_Category].[All]" allUniqueName="[CleanedSheet].[Macro_Category].[All]" dimensionUniqueName="[CleanedSheet]" displayFolder="" count="2" memberValueDatatype="130" unbalanced="0">
      <fieldsUsage count="2">
        <fieldUsage x="-1"/>
        <fieldUsage x="0"/>
      </fieldsUsage>
    </cacheHierarchy>
    <cacheHierarchy uniqueName="[CleanedSheet].[Date Received (Month)]" caption="Date Received (Month)" attribute="1" defaultMemberUniqueName="[CleanedSheet].[Date Received (Month)].[All]" allUniqueName="[CleanedSheet].[Date Received (Month)].[All]" dimensionUniqueName="[CleanedSheet]" displayFolder="" count="2" memberValueDatatype="130" unbalanced="0">
      <fieldsUsage count="2">
        <fieldUsage x="-1"/>
        <fieldUsage x="2"/>
      </fieldsUsage>
    </cacheHierarchy>
    <cacheHierarchy uniqueName="[CleanedSheet].[Date Received (Month Index)]" caption="Date Received (Month Index)" attribute="1" defaultMemberUniqueName="[CleanedSheet].[Date Received (Month Index)].[All]" allUniqueName="[CleanedSheet].[Date Received (Month Index)].[All]" dimensionUniqueName="[CleanedSheet]" displayFolder="" count="0" memberValueDatatype="20" unbalanced="0" hidden="1"/>
    <cacheHierarchy uniqueName="[Measures].[Sum of Month_Sort]" caption="Sum of Month_Sort" measure="1" displayFolder="" measureGroup="CleanedSheet" count="0">
      <extLst>
        <ext xmlns:x15="http://schemas.microsoft.com/office/spreadsheetml/2010/11/main" uri="{B97F6D7D-B522-45F9-BDA1-12C45D357490}">
          <x15:cacheHierarchy aggregatedColumn="8"/>
        </ext>
      </extLst>
    </cacheHierarchy>
    <cacheHierarchy uniqueName="[Measures].[Sum of Amount]" caption="Sum of Amount" measure="1" displayFolder="" measureGroup="CleanedSheet" count="0" oneField="1">
      <fieldsUsage count="1">
        <fieldUsage x="1"/>
      </fieldsUsage>
      <extLst>
        <ext xmlns:x15="http://schemas.microsoft.com/office/spreadsheetml/2010/11/main" uri="{B97F6D7D-B522-45F9-BDA1-12C45D357490}">
          <x15:cacheHierarchy aggregatedColumn="3"/>
        </ext>
      </extLst>
    </cacheHierarchy>
    <cacheHierarchy uniqueName="[Measures].[Sum of Total]" caption="Sum of Total" measure="1" displayFolder="" measureGroup="CleanedSheet" count="0">
      <extLst>
        <ext xmlns:x15="http://schemas.microsoft.com/office/spreadsheetml/2010/11/main" uri="{B97F6D7D-B522-45F9-BDA1-12C45D357490}">
          <x15:cacheHierarchy aggregatedColumn="10"/>
        </ext>
      </extLst>
    </cacheHierarchy>
    <cacheHierarchy uniqueName="[Measures].[Sum of Fiscal_Quarter]" caption="Sum of Fiscal_Quarter" measure="1" displayFolder="" measureGroup="CleanedSheet" count="0">
      <extLst>
        <ext xmlns:x15="http://schemas.microsoft.com/office/spreadsheetml/2010/11/main" uri="{B97F6D7D-B522-45F9-BDA1-12C45D357490}">
          <x15:cacheHierarchy aggregatedColumn="9"/>
        </ext>
      </extLst>
    </cacheHierarchy>
    <cacheHierarchy uniqueName="[Measures].[True_Revenue]" caption="True_Revenue" measure="1" displayFolder="" measureGroup="CleanedSheet" count="0"/>
    <cacheHierarchy uniqueName="[Measures].[True_Expense]" caption="True_Expense" measure="1" displayFolder="" measureGroup="CleanedSheet" count="0"/>
    <cacheHierarchy uniqueName="[Measures].[Net_Profit]" caption="Net_Profit" measure="1" displayFolder="" measureGroup="CleanedSheet" count="0"/>
    <cacheHierarchy uniqueName="[Measures].[Saving Rates]" caption="Saving Rates" measure="1" displayFolder="" measureGroup="CleanedSheet" count="0"/>
    <cacheHierarchy uniqueName="[Measures].[Mapping Accuracy]" caption="Mapping Accuracy" measure="1" displayFolder="" measureGroup="CleanedSheet" count="0"/>
    <cacheHierarchy uniqueName="[Measures].[__XL_Count CleanedSheet]" caption="__XL_Count CleanedSheet" measure="1" displayFolder="" measureGroup="CleanedSheet" count="0" hidden="1"/>
    <cacheHierarchy uniqueName="[Measures].[__No measures defined]" caption="__No measures defined" measure="1" displayFolder="" count="0" hidden="1"/>
  </cacheHierarchies>
  <kpis count="0"/>
  <dimensions count="2">
    <dimension name="CleanedSheet" uniqueName="[CleanedSheet]" caption="CleanedSheet"/>
    <dimension measure="1" name="Measures" uniqueName="[Measures]" caption="Measures"/>
  </dimensions>
  <measureGroups count="1">
    <measureGroup name="CleanedSheet" caption="CleanedShe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tch" refreshedDate="46136.631160648147" backgroundQuery="1" createdVersion="8" refreshedVersion="8" minRefreshableVersion="3" recordCount="0" supportSubquery="1" supportAdvancedDrill="1" xr:uid="{099A80BE-DE57-44B9-A27C-A3B0163E7AD3}">
  <cacheSource type="external" connectionId="3"/>
  <cacheFields count="5">
    <cacheField name="[CleanedSheet].[Entity].[Entity]" caption="Entity" numFmtId="0" hierarchy="12" level="1">
      <sharedItems count="10">
        <s v="AJ"/>
        <s v="AQ"/>
        <s v="AX"/>
        <s v="BP"/>
        <s v="BY"/>
        <s v="CJMen"/>
        <s v="DD"/>
        <s v="Jas"/>
        <s v="K.UB"/>
        <s v="NF"/>
      </sharedItems>
    </cacheField>
    <cacheField name="[CleanedSheet].[Flow].[Flow]" caption="Flow" numFmtId="0" hierarchy="11" level="1">
      <sharedItems containsSemiMixedTypes="0" containsNonDate="0" containsString="0"/>
    </cacheField>
    <cacheField name="[Measures].[Sum of Amount]" caption="Sum of Amount" numFmtId="0" hierarchy="17" level="32767"/>
    <cacheField name="[CleanedSheet].[Macro_Category].[Macro_Category]" caption="Macro_Category" numFmtId="0" hierarchy="13" level="1">
      <sharedItems count="1">
        <s v="Payments"/>
      </sharedItems>
    </cacheField>
    <cacheField name="[CleanedSheet].[Date Received (Month)].[Date Received (Month)]" caption="Date Received (Month)" numFmtId="0" hierarchy="14" level="1">
      <sharedItems containsSemiMixedTypes="0" containsNonDate="0" containsString="0"/>
    </cacheField>
  </cacheFields>
  <cacheHierarchies count="27">
    <cacheHierarchy uniqueName="[CleanedSheet].[Date Received]" caption="Date Received" attribute="1" time="1" defaultMemberUniqueName="[CleanedSheet].[Date Received].[All]" allUniqueName="[CleanedSheet].[Date Received].[All]" dimensionUniqueName="[CleanedSheet]" displayFolder="" count="0" memberValueDatatype="7" unbalanced="0"/>
    <cacheHierarchy uniqueName="[CleanedSheet].[Month]" caption="Month" attribute="1" defaultMemberUniqueName="[CleanedSheet].[Month].[All]" allUniqueName="[CleanedSheet].[Month].[All]" dimensionUniqueName="[CleanedSheet]" displayFolder="" count="0" memberValueDatatype="130" unbalanced="0"/>
    <cacheHierarchy uniqueName="[CleanedSheet].[Account_ID]" caption="Account_ID" attribute="1" defaultMemberUniqueName="[CleanedSheet].[Account_ID].[All]" allUniqueName="[CleanedSheet].[Account_ID].[All]" dimensionUniqueName="[CleanedSheet]" displayFolder="" count="0" memberValueDatatype="130" unbalanced="0"/>
    <cacheHierarchy uniqueName="[CleanedSheet].[Amount]" caption="Amount" attribute="1" defaultMemberUniqueName="[CleanedSheet].[Amount].[All]" allUniqueName="[CleanedSheet].[Amount].[All]" dimensionUniqueName="[CleanedSheet]" displayFolder="" count="0" memberValueDatatype="5" unbalanced="0"/>
    <cacheHierarchy uniqueName="[CleanedSheet].[Transaction_Details]" caption="Transaction_Details" attribute="1" defaultMemberUniqueName="[CleanedSheet].[Transaction_Details].[All]" allUniqueName="[CleanedSheet].[Transaction_Details].[All]" dimensionUniqueName="[CleanedSheet]" displayFolder="" count="0" memberValueDatatype="130" unbalanced="0"/>
    <cacheHierarchy uniqueName="[CleanedSheet].[Transaction_Type]" caption="Transaction_Type" attribute="1" defaultMemberUniqueName="[CleanedSheet].[Transaction_Type].[All]" allUniqueName="[CleanedSheet].[Transaction_Type].[All]" dimensionUniqueName="[CleanedSheet]" displayFolder="" count="0" memberValueDatatype="130" unbalanced="0"/>
    <cacheHierarchy uniqueName="[CleanedSheet].[Category]" caption="Category" attribute="1" defaultMemberUniqueName="[CleanedSheet].[Category].[All]" allUniqueName="[CleanedSheet].[Category].[All]" dimensionUniqueName="[CleanedSheet]" displayFolder="" count="0" memberValueDatatype="130" unbalanced="0"/>
    <cacheHierarchy uniqueName="[CleanedSheet].[Type]" caption="Type" attribute="1" defaultMemberUniqueName="[CleanedSheet].[Type].[All]" allUniqueName="[CleanedSheet].[Type].[All]" dimensionUniqueName="[CleanedSheet]" displayFolder="" count="0" memberValueDatatype="130" unbalanced="0"/>
    <cacheHierarchy uniqueName="[CleanedSheet].[Month_Sort]" caption="Month_Sort" attribute="1" defaultMemberUniqueName="[CleanedSheet].[Month_Sort].[All]" allUniqueName="[CleanedSheet].[Month_Sort].[All]" dimensionUniqueName="[CleanedSheet]" displayFolder="" count="0" memberValueDatatype="20" unbalanced="0"/>
    <cacheHierarchy uniqueName="[CleanedSheet].[Fiscal_Quarter]" caption="Fiscal_Quarter" attribute="1" defaultMemberUniqueName="[CleanedSheet].[Fiscal_Quarter].[All]" allUniqueName="[CleanedSheet].[Fiscal_Quarter].[All]" dimensionUniqueName="[CleanedSheet]" displayFolder="" count="0" memberValueDatatype="20" unbalanced="0"/>
    <cacheHierarchy uniqueName="[CleanedSheet].[Total]" caption="Total" attribute="1" defaultMemberUniqueName="[CleanedSheet].[Total].[All]" allUniqueName="[CleanedSheet].[Total].[All]" dimensionUniqueName="[CleanedSheet]" displayFolder="" count="0" memberValueDatatype="5" unbalanced="0"/>
    <cacheHierarchy uniqueName="[CleanedSheet].[Flow]" caption="Flow" attribute="1" defaultMemberUniqueName="[CleanedSheet].[Flow].[All]" allUniqueName="[CleanedSheet].[Flow].[All]" dimensionUniqueName="[CleanedSheet]" displayFolder="" count="2" memberValueDatatype="130" unbalanced="0">
      <fieldsUsage count="2">
        <fieldUsage x="-1"/>
        <fieldUsage x="1"/>
      </fieldsUsage>
    </cacheHierarchy>
    <cacheHierarchy uniqueName="[CleanedSheet].[Entity]" caption="Entity" attribute="1" defaultMemberUniqueName="[CleanedSheet].[Entity].[All]" allUniqueName="[CleanedSheet].[Entity].[All]" dimensionUniqueName="[CleanedSheet]" displayFolder="" count="2" memberValueDatatype="130" unbalanced="0">
      <fieldsUsage count="2">
        <fieldUsage x="-1"/>
        <fieldUsage x="0"/>
      </fieldsUsage>
    </cacheHierarchy>
    <cacheHierarchy uniqueName="[CleanedSheet].[Macro_Category]" caption="Macro_Category" attribute="1" defaultMemberUniqueName="[CleanedSheet].[Macro_Category].[All]" allUniqueName="[CleanedSheet].[Macro_Category].[All]" dimensionUniqueName="[CleanedSheet]" displayFolder="" count="2" memberValueDatatype="130" unbalanced="0">
      <fieldsUsage count="2">
        <fieldUsage x="-1"/>
        <fieldUsage x="3"/>
      </fieldsUsage>
    </cacheHierarchy>
    <cacheHierarchy uniqueName="[CleanedSheet].[Date Received (Month)]" caption="Date Received (Month)" attribute="1" defaultMemberUniqueName="[CleanedSheet].[Date Received (Month)].[All]" allUniqueName="[CleanedSheet].[Date Received (Month)].[All]" dimensionUniqueName="[CleanedSheet]" displayFolder="" count="2" memberValueDatatype="130" unbalanced="0">
      <fieldsUsage count="2">
        <fieldUsage x="-1"/>
        <fieldUsage x="4"/>
      </fieldsUsage>
    </cacheHierarchy>
    <cacheHierarchy uniqueName="[CleanedSheet].[Date Received (Month Index)]" caption="Date Received (Month Index)" attribute="1" defaultMemberUniqueName="[CleanedSheet].[Date Received (Month Index)].[All]" allUniqueName="[CleanedSheet].[Date Received (Month Index)].[All]" dimensionUniqueName="[CleanedSheet]" displayFolder="" count="0" memberValueDatatype="20" unbalanced="0" hidden="1"/>
    <cacheHierarchy uniqueName="[Measures].[Sum of Month_Sort]" caption="Sum of Month_Sort" measure="1" displayFolder="" measureGroup="CleanedSheet" count="0">
      <extLst>
        <ext xmlns:x15="http://schemas.microsoft.com/office/spreadsheetml/2010/11/main" uri="{B97F6D7D-B522-45F9-BDA1-12C45D357490}">
          <x15:cacheHierarchy aggregatedColumn="8"/>
        </ext>
      </extLst>
    </cacheHierarchy>
    <cacheHierarchy uniqueName="[Measures].[Sum of Amount]" caption="Sum of Amount" measure="1" displayFolder="" measureGroup="CleanedSheet" count="0" oneField="1">
      <fieldsUsage count="1">
        <fieldUsage x="2"/>
      </fieldsUsage>
      <extLst>
        <ext xmlns:x15="http://schemas.microsoft.com/office/spreadsheetml/2010/11/main" uri="{B97F6D7D-B522-45F9-BDA1-12C45D357490}">
          <x15:cacheHierarchy aggregatedColumn="3"/>
        </ext>
      </extLst>
    </cacheHierarchy>
    <cacheHierarchy uniqueName="[Measures].[Sum of Total]" caption="Sum of Total" measure="1" displayFolder="" measureGroup="CleanedSheet" count="0">
      <extLst>
        <ext xmlns:x15="http://schemas.microsoft.com/office/spreadsheetml/2010/11/main" uri="{B97F6D7D-B522-45F9-BDA1-12C45D357490}">
          <x15:cacheHierarchy aggregatedColumn="10"/>
        </ext>
      </extLst>
    </cacheHierarchy>
    <cacheHierarchy uniqueName="[Measures].[Sum of Fiscal_Quarter]" caption="Sum of Fiscal_Quarter" measure="1" displayFolder="" measureGroup="CleanedSheet" count="0">
      <extLst>
        <ext xmlns:x15="http://schemas.microsoft.com/office/spreadsheetml/2010/11/main" uri="{B97F6D7D-B522-45F9-BDA1-12C45D357490}">
          <x15:cacheHierarchy aggregatedColumn="9"/>
        </ext>
      </extLst>
    </cacheHierarchy>
    <cacheHierarchy uniqueName="[Measures].[True_Revenue]" caption="True_Revenue" measure="1" displayFolder="" measureGroup="CleanedSheet" count="0"/>
    <cacheHierarchy uniqueName="[Measures].[True_Expense]" caption="True_Expense" measure="1" displayFolder="" measureGroup="CleanedSheet" count="0"/>
    <cacheHierarchy uniqueName="[Measures].[Net_Profit]" caption="Net_Profit" measure="1" displayFolder="" measureGroup="CleanedSheet" count="0"/>
    <cacheHierarchy uniqueName="[Measures].[Saving Rates]" caption="Saving Rates" measure="1" displayFolder="" measureGroup="CleanedSheet" count="0"/>
    <cacheHierarchy uniqueName="[Measures].[Mapping Accuracy]" caption="Mapping Accuracy" measure="1" displayFolder="" measureGroup="CleanedSheet" count="0"/>
    <cacheHierarchy uniqueName="[Measures].[__XL_Count CleanedSheet]" caption="__XL_Count CleanedSheet" measure="1" displayFolder="" measureGroup="CleanedSheet" count="0" hidden="1"/>
    <cacheHierarchy uniqueName="[Measures].[__No measures defined]" caption="__No measures defined" measure="1" displayFolder="" count="0" hidden="1"/>
  </cacheHierarchies>
  <kpis count="0"/>
  <dimensions count="2">
    <dimension name="CleanedSheet" uniqueName="[CleanedSheet]" caption="CleanedSheet"/>
    <dimension measure="1" name="Measures" uniqueName="[Measures]" caption="Measures"/>
  </dimensions>
  <measureGroups count="1">
    <measureGroup name="CleanedSheet" caption="CleanedShe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tch" refreshedDate="46136.592942361109" backgroundQuery="1" createdVersion="3" refreshedVersion="8" minRefreshableVersion="3" recordCount="0" supportSubquery="1" supportAdvancedDrill="1" xr:uid="{5BD91F95-19D2-400A-B022-34112DD3AEB2}">
  <cacheSource type="external" connectionId="3">
    <extLst>
      <ext xmlns:x14="http://schemas.microsoft.com/office/spreadsheetml/2009/9/main" uri="{F057638F-6D5F-4e77-A914-E7F072B9BCA8}">
        <x14:sourceConnection name="ThisWorkbookDataModel"/>
      </ext>
    </extLst>
  </cacheSource>
  <cacheFields count="0"/>
  <cacheHierarchies count="27">
    <cacheHierarchy uniqueName="[CleanedSheet].[Date Received]" caption="Date Received" attribute="1" time="1" defaultMemberUniqueName="[CleanedSheet].[Date Received].[All]" allUniqueName="[CleanedSheet].[Date Received].[All]" dimensionUniqueName="[CleanedSheet]" displayFolder="" count="0" memberValueDatatype="7" unbalanced="0"/>
    <cacheHierarchy uniqueName="[CleanedSheet].[Month]" caption="Month" attribute="1" defaultMemberUniqueName="[CleanedSheet].[Month].[All]" allUniqueName="[CleanedSheet].[Month].[All]" dimensionUniqueName="[CleanedSheet]" displayFolder="" count="0" memberValueDatatype="130" unbalanced="0"/>
    <cacheHierarchy uniqueName="[CleanedSheet].[Account_ID]" caption="Account_ID" attribute="1" defaultMemberUniqueName="[CleanedSheet].[Account_ID].[All]" allUniqueName="[CleanedSheet].[Account_ID].[All]" dimensionUniqueName="[CleanedSheet]" displayFolder="" count="0" memberValueDatatype="130" unbalanced="0"/>
    <cacheHierarchy uniqueName="[CleanedSheet].[Amount]" caption="Amount" attribute="1" defaultMemberUniqueName="[CleanedSheet].[Amount].[All]" allUniqueName="[CleanedSheet].[Amount].[All]" dimensionUniqueName="[CleanedSheet]" displayFolder="" count="0" memberValueDatatype="5" unbalanced="0"/>
    <cacheHierarchy uniqueName="[CleanedSheet].[Transaction_Details]" caption="Transaction_Details" attribute="1" defaultMemberUniqueName="[CleanedSheet].[Transaction_Details].[All]" allUniqueName="[CleanedSheet].[Transaction_Details].[All]" dimensionUniqueName="[CleanedSheet]" displayFolder="" count="0" memberValueDatatype="130" unbalanced="0"/>
    <cacheHierarchy uniqueName="[CleanedSheet].[Transaction_Type]" caption="Transaction_Type" attribute="1" defaultMemberUniqueName="[CleanedSheet].[Transaction_Type].[All]" allUniqueName="[CleanedSheet].[Transaction_Type].[All]" dimensionUniqueName="[CleanedSheet]" displayFolder="" count="0" memberValueDatatype="130" unbalanced="0"/>
    <cacheHierarchy uniqueName="[CleanedSheet].[Category]" caption="Category" attribute="1" defaultMemberUniqueName="[CleanedSheet].[Category].[All]" allUniqueName="[CleanedSheet].[Category].[All]" dimensionUniqueName="[CleanedSheet]" displayFolder="" count="0" memberValueDatatype="130" unbalanced="0"/>
    <cacheHierarchy uniqueName="[CleanedSheet].[Type]" caption="Type" attribute="1" defaultMemberUniqueName="[CleanedSheet].[Type].[All]" allUniqueName="[CleanedSheet].[Type].[All]" dimensionUniqueName="[CleanedSheet]" displayFolder="" count="0" memberValueDatatype="130" unbalanced="0"/>
    <cacheHierarchy uniqueName="[CleanedSheet].[Month_Sort]" caption="Month_Sort" attribute="1" defaultMemberUniqueName="[CleanedSheet].[Month_Sort].[All]" allUniqueName="[CleanedSheet].[Month_Sort].[All]" dimensionUniqueName="[CleanedSheet]" displayFolder="" count="0" memberValueDatatype="20" unbalanced="0"/>
    <cacheHierarchy uniqueName="[CleanedSheet].[Fiscal_Quarter]" caption="Fiscal_Quarter" attribute="1" defaultMemberUniqueName="[CleanedSheet].[Fiscal_Quarter].[All]" allUniqueName="[CleanedSheet].[Fiscal_Quarter].[All]" dimensionUniqueName="[CleanedSheet]" displayFolder="" count="0" memberValueDatatype="20" unbalanced="0"/>
    <cacheHierarchy uniqueName="[CleanedSheet].[Total]" caption="Total" attribute="1" defaultMemberUniqueName="[CleanedSheet].[Total].[All]" allUniqueName="[CleanedSheet].[Total].[All]" dimensionUniqueName="[CleanedSheet]" displayFolder="" count="0" memberValueDatatype="5" unbalanced="0"/>
    <cacheHierarchy uniqueName="[CleanedSheet].[Flow]" caption="Flow" attribute="1" defaultMemberUniqueName="[CleanedSheet].[Flow].[All]" allUniqueName="[CleanedSheet].[Flow].[All]" dimensionUniqueName="[CleanedSheet]" displayFolder="" count="0" memberValueDatatype="130" unbalanced="0"/>
    <cacheHierarchy uniqueName="[CleanedSheet].[Entity]" caption="Entity" attribute="1" defaultMemberUniqueName="[CleanedSheet].[Entity].[All]" allUniqueName="[CleanedSheet].[Entity].[All]" dimensionUniqueName="[CleanedSheet]" displayFolder="" count="0" memberValueDatatype="130" unbalanced="0"/>
    <cacheHierarchy uniqueName="[CleanedSheet].[Macro_Category]" caption="Macro_Category" attribute="1" defaultMemberUniqueName="[CleanedSheet].[Macro_Category].[All]" allUniqueName="[CleanedSheet].[Macro_Category].[All]" dimensionUniqueName="[CleanedSheet]" displayFolder="" count="0" memberValueDatatype="130" unbalanced="0"/>
    <cacheHierarchy uniqueName="[CleanedSheet].[Date Received (Month)]" caption="Date Received (Month)" attribute="1" defaultMemberUniqueName="[CleanedSheet].[Date Received (Month)].[All]" allUniqueName="[CleanedSheet].[Date Received (Month)].[All]" dimensionUniqueName="[CleanedSheet]" displayFolder="" count="2" memberValueDatatype="130" unbalanced="0"/>
    <cacheHierarchy uniqueName="[CleanedSheet].[Date Received (Month Index)]" caption="Date Received (Month Index)" attribute="1" defaultMemberUniqueName="[CleanedSheet].[Date Received (Month Index)].[All]" allUniqueName="[CleanedSheet].[Date Received (Month Index)].[All]" dimensionUniqueName="[CleanedSheet]" displayFolder="" count="0" memberValueDatatype="20" unbalanced="0" hidden="1"/>
    <cacheHierarchy uniqueName="[Measures].[Sum of Month_Sort]" caption="Sum of Month_Sort" measure="1" displayFolder="" measureGroup="CleanedSheet" count="0">
      <extLst>
        <ext xmlns:x15="http://schemas.microsoft.com/office/spreadsheetml/2010/11/main" uri="{B97F6D7D-B522-45F9-BDA1-12C45D357490}">
          <x15:cacheHierarchy aggregatedColumn="8"/>
        </ext>
      </extLst>
    </cacheHierarchy>
    <cacheHierarchy uniqueName="[Measures].[Sum of Amount]" caption="Sum of Amount" measure="1" displayFolder="" measureGroup="CleanedSheet" count="0">
      <extLst>
        <ext xmlns:x15="http://schemas.microsoft.com/office/spreadsheetml/2010/11/main" uri="{B97F6D7D-B522-45F9-BDA1-12C45D357490}">
          <x15:cacheHierarchy aggregatedColumn="3"/>
        </ext>
      </extLst>
    </cacheHierarchy>
    <cacheHierarchy uniqueName="[Measures].[Sum of Total]" caption="Sum of Total" measure="1" displayFolder="" measureGroup="CleanedSheet" count="0">
      <extLst>
        <ext xmlns:x15="http://schemas.microsoft.com/office/spreadsheetml/2010/11/main" uri="{B97F6D7D-B522-45F9-BDA1-12C45D357490}">
          <x15:cacheHierarchy aggregatedColumn="10"/>
        </ext>
      </extLst>
    </cacheHierarchy>
    <cacheHierarchy uniqueName="[Measures].[Sum of Fiscal_Quarter]" caption="Sum of Fiscal_Quarter" measure="1" displayFolder="" measureGroup="CleanedSheet" count="0">
      <extLst>
        <ext xmlns:x15="http://schemas.microsoft.com/office/spreadsheetml/2010/11/main" uri="{B97F6D7D-B522-45F9-BDA1-12C45D357490}">
          <x15:cacheHierarchy aggregatedColumn="9"/>
        </ext>
      </extLst>
    </cacheHierarchy>
    <cacheHierarchy uniqueName="[Measures].[True_Revenue]" caption="True_Revenue" measure="1" displayFolder="" measureGroup="CleanedSheet" count="0"/>
    <cacheHierarchy uniqueName="[Measures].[True_Expense]" caption="True_Expense" measure="1" displayFolder="" measureGroup="CleanedSheet" count="0"/>
    <cacheHierarchy uniqueName="[Measures].[Net_Profit]" caption="Net_Profit" measure="1" displayFolder="" measureGroup="CleanedSheet" count="0"/>
    <cacheHierarchy uniqueName="[Measures].[Saving Rates]" caption="Saving Rates" measure="1" displayFolder="" measureGroup="CleanedSheet" count="0"/>
    <cacheHierarchy uniqueName="[Measures].[Mapping Accuracy]" caption="Mapping Accuracy" measure="1" displayFolder="" measureGroup="CleanedSheet" count="0"/>
    <cacheHierarchy uniqueName="[Measures].[__XL_Count CleanedSheet]" caption="__XL_Count CleanedSheet" measure="1" displayFolder="" measureGroup="CleanedShee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310439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35728D-D64E-4715-BAF2-6EEB892F5B4C}" name="Top10EntityInflow" cacheId="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D23:E34" firstHeaderRow="1" firstDataRow="1" firstDataCol="1" rowPageCount="2" colPageCount="1"/>
  <pivotFields count="5">
    <pivotField axis="axisRow" allDrilled="1" subtotalTop="0" showAll="0" measureFilter="1" dataSourceSort="1" defaultSubtotal="0" defaultAttributeDrillState="1">
      <items count="10">
        <item x="0"/>
        <item x="1"/>
        <item x="2"/>
        <item x="3"/>
        <item x="4"/>
        <item x="5"/>
        <item x="6"/>
        <item x="7"/>
        <item x="8"/>
        <item x="9"/>
      </items>
    </pivotField>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items count="1">
        <item s="1" x="0"/>
      </items>
    </pivotField>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pageFields count="2">
    <pageField fld="1" hier="11" name="[CleanedSheet].[Flow].&amp;[Inflow]" cap="Inflow"/>
    <pageField fld="3" hier="13" name="[CleanedSheet].[Macro_Category].&amp;[Payments]" cap="Payments"/>
  </pageFields>
  <dataFields count="1">
    <dataField name="Sum of Amount" fld="2" baseField="0" baseItem="0"/>
  </dataFields>
  <chartFormats count="1">
    <chartFormat chart="2" format="1"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Sheet].[Flow].&amp;[Inflow]"/>
      </members>
    </pivotHierarchy>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16">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e Data Transformation Project 2025.xlsx!CleanedSheet">
        <x15:activeTabTopLevelEntity name="[Cleaned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F0EB89-4AE5-4DBE-8BF7-287715F3196E}" name="Top10" cacheId="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F6:G17" firstHeaderRow="1" firstDataRow="1" firstDataCol="1" rowPageCount="2" colPageCount="1"/>
  <pivotFields count="6">
    <pivotField allDrilled="1" subtotalTop="0" showAll="0" dataSourceSort="1" defaultSubtotal="0" defaultAttributeDrillState="1">
      <items count="1">
        <item s="1" x="0"/>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items count="1">
        <item s="1" x="0"/>
      </items>
    </pivotField>
    <pivotField axis="axisPage" allDrilled="1" subtotalTop="0" showAll="0" dataSourceSort="1" defaultSubtotal="0" defaultAttributeDrillState="1">
      <items count="1">
        <item s="1" x="0"/>
      </items>
    </pivotField>
    <pivotField axis="axisPage" allDrilled="1" subtotalTop="0" showAll="0" dataSourceSort="1" defaultSubtotal="0" defaultAttributeDrillState="1">
      <items count="12">
        <item x="0"/>
        <item x="1"/>
        <item x="2"/>
        <item x="3"/>
        <item x="4"/>
        <item x="5"/>
        <item x="6"/>
        <item x="7"/>
        <item x="8"/>
        <item n="s" x="9"/>
        <item x="10"/>
        <item x="11"/>
      </items>
    </pivotField>
    <pivotField dataField="1" subtotalTop="0" showAll="0" defaultSubtotal="0"/>
  </pivotFields>
  <rowFields count="1">
    <field x="1"/>
  </rowFields>
  <rowItems count="11">
    <i>
      <x v="8"/>
    </i>
    <i>
      <x v="6"/>
    </i>
    <i>
      <x v="3"/>
    </i>
    <i>
      <x/>
    </i>
    <i>
      <x v="7"/>
    </i>
    <i>
      <x v="4"/>
    </i>
    <i>
      <x v="2"/>
    </i>
    <i>
      <x v="9"/>
    </i>
    <i>
      <x v="5"/>
    </i>
    <i>
      <x v="1"/>
    </i>
    <i t="grand">
      <x/>
    </i>
  </rowItems>
  <colItems count="1">
    <i/>
  </colItems>
  <pageFields count="2">
    <pageField fld="3" hier="6" name="[CleanedSheet].[Category].&amp;[Transfer]" cap="Transfer"/>
    <pageField fld="4" hier="14" name="[CleanedSheet].[Date Received (Month)].[All]" cap="All"/>
  </pageFields>
  <dataFields count="1">
    <dataField fld="5" subtotal="count" baseField="0" baseItem="0"/>
  </dataFields>
  <pivotHierarchies count="2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4" iMeasureHier="20">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e Data Transformation Project 2025.xlsx!CleanedSheet">
        <x15:activeTabTopLevelEntity name="[Cleaned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DC2DC1-C894-44C3-A5A0-8B58A05161BE}" name="True_Expense" cacheId="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22:B27" firstHeaderRow="1" firstDataRow="1" firstDataCol="1" rowPageCount="1" colPageCount="1"/>
  <pivotFields count="4">
    <pivotField axis="axisPage" allDrilled="1" subtotalTop="0" showAll="0" dataSourceSort="1" defaultSubtotal="0" defaultAttributeDrillState="1"/>
    <pivotField axis="axisRow" allDrilled="1" subtotalTop="0" showAll="0" defaultSubtotal="0" defaultAttributeDrillState="1">
      <items count="4">
        <item s="1" x="0"/>
        <item s="1" x="1"/>
        <item s="1" x="2"/>
        <item s="1"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pageFields count="1">
    <pageField fld="0" hier="11" name="[CleanedSheet].[Flow].&amp;[Outflow]" cap="Outflow"/>
  </pageFields>
  <dataFields count="1">
    <dataField name="Sum of Amount" fld="2"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Sheet].[Flow].&amp;[Outflow]"/>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e Data Transformation Project 2025.xlsx!CleanedSheet">
        <x15:activeTabTopLevelEntity name="[Cleaned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D956DC-B5C7-45E9-95B8-25AA5C3E3C3E}" name="Savings Rate" cacheId="6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6:D60" firstHeaderRow="0" firstDataRow="1" firstDataCol="1"/>
  <pivotFields count="5">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s>
  <rowFields count="2">
    <field x="0"/>
    <field x="1"/>
  </rowFields>
  <rowItems count="14">
    <i>
      <x/>
    </i>
    <i r="1">
      <x/>
    </i>
    <i r="1">
      <x v="1"/>
    </i>
    <i r="1">
      <x v="2"/>
    </i>
    <i r="1">
      <x v="3"/>
    </i>
    <i r="1">
      <x v="4"/>
    </i>
    <i r="1">
      <x v="5"/>
    </i>
    <i r="1">
      <x v="6"/>
    </i>
    <i r="1">
      <x v="7"/>
    </i>
    <i r="1">
      <x v="8"/>
    </i>
    <i r="1">
      <x v="9"/>
    </i>
    <i r="1">
      <x v="10"/>
    </i>
    <i r="1">
      <x v="11"/>
    </i>
    <i t="grand">
      <x/>
    </i>
  </rowItems>
  <colFields count="1">
    <field x="-2"/>
  </colFields>
  <colItems count="3">
    <i>
      <x/>
    </i>
    <i i="1">
      <x v="1"/>
    </i>
    <i i="2">
      <x v="2"/>
    </i>
  </colItems>
  <dataFields count="3">
    <dataField name="Sum of Amount" fld="2" baseField="0" baseItem="0"/>
    <dataField fld="3" subtotal="count" baseField="0" baseItem="0"/>
    <dataField fld="4" subtotal="count" baseField="0" baseItem="0"/>
  </dataFields>
  <formats count="2">
    <format dxfId="31">
      <pivotArea field="0" grandRow="1" outline="0" collapsedLevelsAreSubtotals="1" axis="axisRow" fieldPosition="0">
        <references count="1">
          <reference field="4294967294" count="1" selected="0">
            <x v="2"/>
          </reference>
        </references>
      </pivotArea>
    </format>
    <format dxfId="30">
      <pivotArea collapsedLevelsAreSubtotals="1" fieldPosition="0">
        <references count="3">
          <reference field="4294967294" count="1" selected="0">
            <x v="2"/>
          </reference>
          <reference field="0" count="0" selected="0"/>
          <reference field="1" count="0"/>
        </references>
      </pivotArea>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3"/>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e Data Transformation Project 2025.xlsx!CleanedSheet">
        <x15:activeTabTopLevelEntity name="[Cleaned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7B845E-7AA1-49D5-A1E4-659DE1470F9F}" name="Unreconciled" cacheId="6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0:B42"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2">
    <field x="0"/>
    <field x="2"/>
  </rowFields>
  <rowItems count="12">
    <i>
      <x/>
    </i>
    <i r="1">
      <x/>
    </i>
    <i r="1">
      <x v="1"/>
    </i>
    <i r="1">
      <x v="2"/>
    </i>
    <i r="1">
      <x v="3"/>
    </i>
    <i r="1">
      <x v="4"/>
    </i>
    <i r="1">
      <x v="5"/>
    </i>
    <i r="1">
      <x v="6"/>
    </i>
    <i r="1">
      <x v="7"/>
    </i>
    <i r="1">
      <x v="8"/>
    </i>
    <i r="1">
      <x v="9"/>
    </i>
    <i t="grand">
      <x/>
    </i>
  </rowItems>
  <colItems count="1">
    <i/>
  </colItems>
  <dataFields count="1">
    <dataField name="Sum of Amount" fld="1" baseField="0" baseItem="0"/>
  </dataFields>
  <formats count="2">
    <format dxfId="33">
      <pivotArea collapsedLevelsAreSubtotals="1" fieldPosition="0">
        <references count="2">
          <reference field="0" count="0" selected="0"/>
          <reference field="2" count="0"/>
        </references>
      </pivotArea>
    </format>
    <format dxfId="32">
      <pivotArea grandRow="1"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3"/>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e Data Transformation Project 2025.xlsx!CleanedSheet">
        <x15:activeTabTopLevelEntity name="[Cleaned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04AF3C-E804-4263-8AFA-3816773C3370}" name="Mapping Accuracy" cacheId="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4:C76" firstHeaderRow="0" firstDataRow="1" firstDataCol="1"/>
  <pivotFields count="4">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Sum of Amount" fld="1" baseField="0" baseItem="0"/>
    <dataField fld="2" subtotal="count" baseField="0" baseItem="0" numFmtId="167"/>
  </dataFields>
  <formats count="1">
    <format dxfId="34">
      <pivotArea outline="0" collapsedLevelsAreSubtotals="1" fieldPosition="0">
        <references count="1">
          <reference field="4294967294" count="1" selected="0">
            <x v="1"/>
          </reference>
        </references>
      </pivotArea>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e Data Transformation Project 2025.xlsx!CleanedSheet">
        <x15:activeTabTopLevelEntity name="[Cleaned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E12D7C-B7B5-4705-B479-AD7E4DEDC89D}" name="TrueRevenue_vs_TrueExpense" cacheId="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3:D16"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Revenue" fld="1" subtotal="count" baseField="0" baseItem="0"/>
    <dataField name="Expense" fld="2" subtotal="count" baseField="0" baseItem="0"/>
    <dataField name="Net Profit" fld="3" subtotal="count" baseField="0" baseItem="0"/>
  </dataFields>
  <chartFormats count="6">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6" format="7"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1"/>
          </reference>
        </references>
      </pivotArea>
    </chartFormat>
    <chartFormat chart="6" format="9" series="1">
      <pivotArea type="data" outline="0" fieldPosition="0">
        <references count="1">
          <reference field="4294967294" count="1" selected="0">
            <x v="2"/>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caption="Revenue"/>
    <pivotHierarchy dragToRow="0" dragToCol="0" dragToPage="0" dragToData="1" caption="Expense"/>
    <pivotHierarchy dragToRow="0" dragToCol="0" dragToPage="0" dragToData="1" caption="Net Profit"/>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e Data Transformation Project 2025.xlsx!CleanedSheet">
        <x15:activeTabTopLevelEntity name="[CleanedShe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607AEEA-9618-402F-B776-0EEE5815AA55}" autoFormatId="16" applyNumberFormats="0" applyBorderFormats="0" applyFontFormats="0" applyPatternFormats="0" applyAlignmentFormats="0" applyWidthHeightFormats="0">
  <queryTableRefresh nextId="25">
    <queryTableFields count="14">
      <queryTableField id="1" name="Date Received" tableColumnId="1"/>
      <queryTableField id="2" name="Month" tableColumnId="2"/>
      <queryTableField id="12" name="Account_ID" tableColumnId="12"/>
      <queryTableField id="6" name="Amount" tableColumnId="6"/>
      <queryTableField id="15" name="Transaction_Details" tableColumnId="15"/>
      <queryTableField id="20" name="Transaction_Type" tableColumnId="18"/>
      <queryTableField id="4" name="Category" tableColumnId="4"/>
      <queryTableField id="5" name="Type" tableColumnId="5"/>
      <queryTableField id="16" name="Month_Sort" tableColumnId="16"/>
      <queryTableField id="17" name="Fiscal_Quarter" tableColumnId="17"/>
      <queryTableField id="10" name="Total" tableColumnId="10"/>
      <queryTableField id="11" name="Flow" tableColumnId="11"/>
      <queryTableField id="13" name="Entity" tableColumnId="13"/>
      <queryTableField id="14" name="Macro_Category"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Received__Month" xr10:uid="{FD2A0EA6-0BBC-4AFD-B610-FBBFF824BC82}" sourceName="[CleanedSheet].[Date Received (Month)]">
  <pivotTables>
    <pivotTable tabId="30" name="Top10"/>
    <pivotTable tabId="30" name="True_Expense"/>
    <pivotTable tabId="30" name="TrueRevenue_vs_TrueExpense"/>
    <pivotTable tabId="30" name="Savings Rate"/>
    <pivotTable tabId="30" name="Mapping Accuracy"/>
    <pivotTable tabId="30" name="Unreconciled"/>
    <pivotTable tabId="30" name="Top10EntityInflow"/>
  </pivotTables>
  <data>
    <olap pivotCacheId="2031043916">
      <levels count="2">
        <level uniqueName="[CleanedSheet].[Date Received (Month)].[(All)]" sourceCaption="(All)" count="0"/>
        <level uniqueName="[CleanedSheet].[Date Received (Month)].[Date Received (Month)]" sourceCaption="Date Received (Month)" count="12">
          <ranges>
            <range startItem="0">
              <i n="[CleanedSheet].[Date Received (Month)].&amp;[Jan]" c="Jan"/>
              <i n="[CleanedSheet].[Date Received (Month)].&amp;[Feb]" c="Feb"/>
              <i n="[CleanedSheet].[Date Received (Month)].&amp;[Mar]" c="Mar"/>
              <i n="[CleanedSheet].[Date Received (Month)].&amp;[Apr]" c="Apr"/>
              <i n="[CleanedSheet].[Date Received (Month)].&amp;[May]" c="May"/>
              <i n="[CleanedSheet].[Date Received (Month)].&amp;[Jun]" c="Jun"/>
              <i n="[CleanedSheet].[Date Received (Month)].&amp;[Jul]" c="Jul"/>
              <i n="[CleanedSheet].[Date Received (Month)].&amp;[Aug]" c="Aug"/>
              <i n="[CleanedSheet].[Date Received (Month)].&amp;[Sep]" c="Sep"/>
              <i n="[CleanedSheet].[Date Received (Month)].&amp;[Oct]" c="Oct"/>
              <i n="[CleanedSheet].[Date Received (Month)].&amp;[Nov]" c="Nov"/>
              <i n="[CleanedSheet].[Date Received (Month)].&amp;[Dec]" c="Dec"/>
            </range>
          </ranges>
        </level>
      </levels>
      <selections count="1">
        <selection n="[CleanedSheet].[Date Received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Received (Month) 1" xr10:uid="{858315E9-7D31-4054-983B-43A20FE13DEE}" cache="Slicer_Date_Received__Month" caption="Month" showCaption="0" level="1" style="Bigtextslice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477589E-57EF-4E92-888B-C1283B02AC59}" name="CleanedSheet" displayName="CleanedSheet" ref="A1:N598" tableType="queryTable" totalsRowShown="0">
  <autoFilter ref="A1:N598" xr:uid="{D477589E-57EF-4E92-888B-C1283B02AC59}"/>
  <tableColumns count="14">
    <tableColumn id="1" xr3:uid="{D5FF0F8A-4D37-4B53-BBA6-A2C767CE8C6E}" uniqueName="1" name="Date Received" queryTableFieldId="1" dataDxfId="43"/>
    <tableColumn id="2" xr3:uid="{566B4A9D-F6D0-4285-B48D-A6D2D0358C68}" uniqueName="2" name="Month" queryTableFieldId="2" dataDxfId="42"/>
    <tableColumn id="12" xr3:uid="{1C703550-7AD2-4553-BE90-D07239C6DA39}" uniqueName="12" name="Account_ID" queryTableFieldId="12" dataDxfId="41"/>
    <tableColumn id="6" xr3:uid="{541D9A7F-D470-4D1E-82CA-38DEB36392AB}" uniqueName="6" name="Amount" queryTableFieldId="6" dataDxfId="40"/>
    <tableColumn id="15" xr3:uid="{E53A1F28-57E9-44B1-8DA7-CD2E6A0ACE32}" uniqueName="15" name="Transaction_Details" queryTableFieldId="15"/>
    <tableColumn id="18" xr3:uid="{EC7A9E9F-AE79-4040-9E1A-81AE7D02569F}" uniqueName="18" name="Transaction_Type" queryTableFieldId="20"/>
    <tableColumn id="4" xr3:uid="{B2D9CF4B-76A1-403D-B233-7694F0B51881}" uniqueName="4" name="Category" queryTableFieldId="4" dataDxfId="39"/>
    <tableColumn id="5" xr3:uid="{940399CD-F1C2-40AD-80EF-54BCA66259A0}" uniqueName="5" name="Type" queryTableFieldId="5" dataDxfId="38"/>
    <tableColumn id="16" xr3:uid="{A4DDE0EF-C58D-45D0-8FEA-5BC5156F995A}" uniqueName="16" name="Month_Sort" queryTableFieldId="16"/>
    <tableColumn id="17" xr3:uid="{E26DADDE-697D-4C4F-8ABF-C40222EDC2A5}" uniqueName="17" name="Fiscal_Quarter" queryTableFieldId="17"/>
    <tableColumn id="10" xr3:uid="{F037AF1E-5FFF-40DC-ACC5-503C56EB1FCC}" uniqueName="10" name="Total" queryTableFieldId="10" dataDxfId="37"/>
    <tableColumn id="11" xr3:uid="{E6B502E3-6914-428D-9B33-4F48A512F41C}" uniqueName="11" name="Flow" queryTableFieldId="11"/>
    <tableColumn id="13" xr3:uid="{12D37B3F-A914-4F04-A304-33FE5BFE75DA}" uniqueName="13" name="Entity" queryTableFieldId="13" dataDxfId="36"/>
    <tableColumn id="14" xr3:uid="{9C6ACB91-52C2-4345-9627-51A9DCD03F78}" uniqueName="14" name="Macro_Category" queryTableFieldId="14" dataDxfId="3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470F42-D227-405A-9241-90977CB3D0B6}" name="Mapping" displayName="Mapping" ref="A1:F133" totalsRowShown="0">
  <autoFilter ref="A1:F133" xr:uid="{95D23AD4-3A99-4AD7-AFFE-2FE8BDE30824}"/>
  <sortState xmlns:xlrd2="http://schemas.microsoft.com/office/spreadsheetml/2017/richdata2" ref="A2:F112">
    <sortCondition descending="1" ref="A1:A257"/>
  </sortState>
  <tableColumns count="6">
    <tableColumn id="1" xr3:uid="{7263753E-6B40-49DD-B20B-BDEC9F64F4A6}" name="Account ID" dataDxfId="29"/>
    <tableColumn id="5" xr3:uid="{FE656326-4F4B-4CCC-AF9B-DC4F1B0DB090}" name="Description" dataDxfId="28"/>
    <tableColumn id="7" xr3:uid="{55A2F179-0433-4D5A-B8B0-3FE1E2273607}" name="MasterKey" dataDxfId="27"/>
    <tableColumn id="2" xr3:uid="{16532239-7B33-4D57-ABB3-301CAB170979}" name="Entity (Who/What)" dataDxfId="26"/>
    <tableColumn id="3" xr3:uid="{B57CAEDE-9CBE-49B2-A8F2-D0CB3AB221BE}" name="Category" dataDxfId="25"/>
    <tableColumn id="4" xr3:uid="{DADCB703-18BD-4893-AB11-6B953C24DE35}" name="Macro-Category" dataDxfId="2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CAAD0DA-C6DE-4443-9E00-054F382A9627}" name="master" displayName="master" ref="A1:F598" totalsRowShown="0" headerRowDxfId="23" tableBorderDxfId="22">
  <autoFilter ref="A1:F598" xr:uid="{3CAAD0DA-C6DE-4443-9E00-054F382A9627}"/>
  <tableColumns count="6">
    <tableColumn id="1" xr3:uid="{74D0F113-4115-4E25-AE25-651EF7AD09BE}" name="Date Received" dataDxfId="21"/>
    <tableColumn id="2" xr3:uid="{33B3EC06-10D1-47BA-98BA-172A2C5F4C76}" name="Month" dataDxfId="20"/>
    <tableColumn id="3" xr3:uid="{0B42AD65-A805-43C0-902A-F9A4DBCD30D6}" name="Id" dataDxfId="19"/>
    <tableColumn id="4" xr3:uid="{094D8144-7B5C-4F5E-B84A-2E1C539F5B02}" name="Category" dataDxfId="18">
      <calculatedColumnFormula>_xlfn.XLOOKUP(C2, Mapping!$C:$C, Mapping!$E:$E, "Check ID")</calculatedColumnFormula>
    </tableColumn>
    <tableColumn id="5" xr3:uid="{8785B15A-6C4F-4F90-9EF9-335E73636DC6}" name="Type" dataDxfId="17"/>
    <tableColumn id="6" xr3:uid="{94AC400C-62BA-4929-B49B-A5B446B355DA}" name="Amount" dataDxf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noFill/>
        <a:ln w="9525" cmpd="sng">
          <a:noFill/>
        </a:ln>
      </a:spPr>
      <a:bodyPr vertOverflow="clip" horzOverflow="clip" wrap="square" rtlCol="0" anchor="t"/>
      <a:lstStyle>
        <a:defPPr algn="l">
          <a:defRPr sz="1100" b="0" i="0" u="none" strike="noStrike">
            <a:solidFill>
              <a:srgbClr val="000000"/>
            </a:solidFill>
            <a:latin typeface="Calibri"/>
            <a:ea typeface="Calibri"/>
            <a:cs typeface="Calibri"/>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1B338-2919-4A06-84AA-4877FEF00F22}">
  <dimension ref="D5:T5"/>
  <sheetViews>
    <sheetView showGridLines="0" zoomScale="85" zoomScaleNormal="85" workbookViewId="0">
      <selection activeCell="D14" sqref="D14"/>
    </sheetView>
  </sheetViews>
  <sheetFormatPr defaultRowHeight="14.4" x14ac:dyDescent="0.3"/>
  <cols>
    <col min="1" max="3" width="8.88671875" style="29"/>
    <col min="4" max="4" width="11.33203125" style="29" bestFit="1" customWidth="1"/>
    <col min="5" max="7" width="8.88671875" style="29"/>
    <col min="8" max="8" width="11.33203125" style="29" bestFit="1" customWidth="1"/>
    <col min="9" max="11" width="8.88671875" style="29"/>
    <col min="12" max="12" width="10.33203125" style="29" bestFit="1" customWidth="1"/>
    <col min="13" max="16384" width="8.88671875" style="29"/>
  </cols>
  <sheetData>
    <row r="5" spans="4:20" x14ac:dyDescent="0.3">
      <c r="D5" s="33">
        <f>GETPIVOTDATA("[Measures].[True_Revenue]",Calcs!$A$3)</f>
        <v>834310.8</v>
      </c>
      <c r="H5" s="33">
        <f>GETPIVOTDATA("[Measures].[True_Expense]",Calcs!$A$3)</f>
        <v>772780.36</v>
      </c>
      <c r="L5" s="33">
        <f>GETPIVOTDATA("[Measures].[Net_Profit]",Calcs!$A$3)</f>
        <v>61530.440000000061</v>
      </c>
      <c r="P5" s="34">
        <f>GETPIVOTDATA("[Measures].[Saving Rates]",Calcs!$A$46)</f>
        <v>0.19369280608617315</v>
      </c>
      <c r="T5" s="35">
        <f>GETPIVOTDATA("[Measures].[Mapping Accuracy]",Calcs!$A$64,"[CleanedSheet].[Macro_Category]","[CleanedSheet].[Macro_Category].&amp;[Unreconciled]")</f>
        <v>0.96533594648700749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85A26-2C29-43C0-9434-4D0F4AAAB97D}">
  <dimension ref="A1:N598"/>
  <sheetViews>
    <sheetView workbookViewId="0">
      <selection activeCell="D6" sqref="D6"/>
    </sheetView>
  </sheetViews>
  <sheetFormatPr defaultRowHeight="14.4" x14ac:dyDescent="0.3"/>
  <cols>
    <col min="1" max="1" width="15.109375" style="8" bestFit="1" customWidth="1"/>
    <col min="2" max="2" width="9.77734375" bestFit="1" customWidth="1"/>
    <col min="3" max="3" width="13" bestFit="1" customWidth="1"/>
    <col min="4" max="4" width="10.109375" bestFit="1" customWidth="1"/>
    <col min="5" max="5" width="24.21875" bestFit="1" customWidth="1"/>
    <col min="6" max="6" width="18.21875" bestFit="1" customWidth="1"/>
    <col min="7" max="7" width="13.33203125" bestFit="1" customWidth="1"/>
    <col min="8" max="8" width="7.33203125" bestFit="1" customWidth="1"/>
    <col min="9" max="9" width="13.44140625" bestFit="1" customWidth="1"/>
    <col min="10" max="10" width="15.109375" bestFit="1" customWidth="1"/>
    <col min="11" max="11" width="10.77734375" bestFit="1" customWidth="1"/>
    <col min="12" max="12" width="7.6640625" bestFit="1" customWidth="1"/>
    <col min="13" max="13" width="17.88671875" bestFit="1" customWidth="1"/>
    <col min="14" max="14" width="18.88671875" bestFit="1" customWidth="1"/>
    <col min="15" max="15" width="19.6640625" bestFit="1" customWidth="1"/>
    <col min="16" max="16" width="18.33203125" bestFit="1" customWidth="1"/>
    <col min="17" max="17" width="18.88671875" bestFit="1" customWidth="1"/>
    <col min="18" max="18" width="19.6640625" bestFit="1" customWidth="1"/>
  </cols>
  <sheetData>
    <row r="1" spans="1:14" x14ac:dyDescent="0.3">
      <c r="A1" s="8" t="s">
        <v>146</v>
      </c>
      <c r="B1" t="s">
        <v>0</v>
      </c>
      <c r="C1" t="s">
        <v>340</v>
      </c>
      <c r="D1" t="s">
        <v>2</v>
      </c>
      <c r="E1" t="s">
        <v>341</v>
      </c>
      <c r="F1" t="s">
        <v>332</v>
      </c>
      <c r="G1" t="s">
        <v>1</v>
      </c>
      <c r="H1" t="s">
        <v>338</v>
      </c>
      <c r="I1" t="s">
        <v>310</v>
      </c>
      <c r="J1" t="s">
        <v>309</v>
      </c>
      <c r="K1" t="s">
        <v>266</v>
      </c>
      <c r="L1" t="s">
        <v>267</v>
      </c>
      <c r="M1" t="s">
        <v>307</v>
      </c>
      <c r="N1" t="s">
        <v>308</v>
      </c>
    </row>
    <row r="2" spans="1:14" x14ac:dyDescent="0.3">
      <c r="A2" s="8">
        <v>45659</v>
      </c>
      <c r="B2" t="s">
        <v>147</v>
      </c>
      <c r="C2" t="s">
        <v>148</v>
      </c>
      <c r="D2" s="20">
        <v>17015</v>
      </c>
      <c r="E2" t="s">
        <v>324</v>
      </c>
      <c r="F2" t="s">
        <v>333</v>
      </c>
      <c r="G2" t="s">
        <v>139</v>
      </c>
      <c r="H2" t="s">
        <v>336</v>
      </c>
      <c r="I2">
        <v>1</v>
      </c>
      <c r="J2">
        <v>1</v>
      </c>
      <c r="K2" s="20">
        <v>-17015</v>
      </c>
      <c r="L2" t="s">
        <v>269</v>
      </c>
      <c r="M2" t="s">
        <v>322</v>
      </c>
      <c r="N2" t="s">
        <v>138</v>
      </c>
    </row>
    <row r="3" spans="1:14" x14ac:dyDescent="0.3">
      <c r="A3" s="8">
        <v>45660</v>
      </c>
      <c r="B3" t="s">
        <v>147</v>
      </c>
      <c r="C3" t="s">
        <v>166</v>
      </c>
      <c r="D3" s="20">
        <v>1500</v>
      </c>
      <c r="E3" t="s">
        <v>364</v>
      </c>
      <c r="F3" t="s">
        <v>334</v>
      </c>
      <c r="G3" t="s">
        <v>25</v>
      </c>
      <c r="H3" t="s">
        <v>337</v>
      </c>
      <c r="I3">
        <v>1</v>
      </c>
      <c r="J3">
        <v>1</v>
      </c>
      <c r="K3" s="20">
        <v>1500</v>
      </c>
      <c r="L3" t="s">
        <v>268</v>
      </c>
      <c r="M3" t="s">
        <v>84</v>
      </c>
      <c r="N3" t="s">
        <v>26</v>
      </c>
    </row>
    <row r="4" spans="1:14" x14ac:dyDescent="0.3">
      <c r="A4" s="8">
        <v>45661</v>
      </c>
      <c r="B4" t="s">
        <v>147</v>
      </c>
      <c r="C4" t="s">
        <v>150</v>
      </c>
      <c r="D4" s="20">
        <v>181</v>
      </c>
      <c r="E4" t="s">
        <v>325</v>
      </c>
      <c r="F4" t="s">
        <v>333</v>
      </c>
      <c r="G4" t="s">
        <v>319</v>
      </c>
      <c r="H4" t="s">
        <v>336</v>
      </c>
      <c r="I4">
        <v>1</v>
      </c>
      <c r="J4">
        <v>1</v>
      </c>
      <c r="K4" s="20">
        <v>-181</v>
      </c>
      <c r="L4" t="s">
        <v>269</v>
      </c>
      <c r="M4" t="s">
        <v>314</v>
      </c>
      <c r="N4" t="s">
        <v>90</v>
      </c>
    </row>
    <row r="5" spans="1:14" x14ac:dyDescent="0.3">
      <c r="A5" s="8">
        <v>45662</v>
      </c>
      <c r="B5" t="s">
        <v>147</v>
      </c>
      <c r="C5" t="s">
        <v>167</v>
      </c>
      <c r="D5" s="20">
        <v>1800</v>
      </c>
      <c r="E5" t="s">
        <v>365</v>
      </c>
      <c r="F5" t="s">
        <v>334</v>
      </c>
      <c r="G5" t="s">
        <v>25</v>
      </c>
      <c r="H5" t="s">
        <v>337</v>
      </c>
      <c r="I5">
        <v>1</v>
      </c>
      <c r="J5">
        <v>1</v>
      </c>
      <c r="K5" s="20">
        <v>1800</v>
      </c>
      <c r="L5" t="s">
        <v>268</v>
      </c>
      <c r="M5" t="s">
        <v>49</v>
      </c>
      <c r="N5" t="s">
        <v>26</v>
      </c>
    </row>
    <row r="6" spans="1:14" x14ac:dyDescent="0.3">
      <c r="A6" s="8">
        <v>45663</v>
      </c>
      <c r="B6" t="s">
        <v>147</v>
      </c>
      <c r="C6" t="s">
        <v>148</v>
      </c>
      <c r="D6" s="20">
        <v>2015</v>
      </c>
      <c r="E6" t="s">
        <v>324</v>
      </c>
      <c r="F6" t="s">
        <v>333</v>
      </c>
      <c r="G6" t="s">
        <v>139</v>
      </c>
      <c r="H6" t="s">
        <v>336</v>
      </c>
      <c r="I6">
        <v>1</v>
      </c>
      <c r="J6">
        <v>1</v>
      </c>
      <c r="K6" s="20">
        <v>-2015</v>
      </c>
      <c r="L6" t="s">
        <v>269</v>
      </c>
      <c r="M6" t="s">
        <v>322</v>
      </c>
      <c r="N6" t="s">
        <v>138</v>
      </c>
    </row>
    <row r="7" spans="1:14" x14ac:dyDescent="0.3">
      <c r="A7" s="8">
        <v>45664</v>
      </c>
      <c r="B7" t="s">
        <v>147</v>
      </c>
      <c r="C7" t="s">
        <v>151</v>
      </c>
      <c r="D7" s="20">
        <v>400</v>
      </c>
      <c r="E7" t="s">
        <v>270</v>
      </c>
      <c r="F7" t="s">
        <v>333</v>
      </c>
      <c r="G7" t="s">
        <v>25</v>
      </c>
      <c r="H7" t="s">
        <v>336</v>
      </c>
      <c r="I7">
        <v>1</v>
      </c>
      <c r="J7">
        <v>1</v>
      </c>
      <c r="K7" s="20">
        <v>-400</v>
      </c>
      <c r="L7" t="s">
        <v>269</v>
      </c>
      <c r="M7" t="s">
        <v>81</v>
      </c>
      <c r="N7" t="s">
        <v>26</v>
      </c>
    </row>
    <row r="8" spans="1:14" x14ac:dyDescent="0.3">
      <c r="A8" s="8">
        <v>45666</v>
      </c>
      <c r="B8" t="s">
        <v>147</v>
      </c>
      <c r="C8" t="s">
        <v>170</v>
      </c>
      <c r="D8" s="20">
        <v>1500</v>
      </c>
      <c r="E8" t="s">
        <v>366</v>
      </c>
      <c r="F8" t="s">
        <v>334</v>
      </c>
      <c r="G8" t="s">
        <v>25</v>
      </c>
      <c r="H8" t="s">
        <v>337</v>
      </c>
      <c r="I8">
        <v>1</v>
      </c>
      <c r="J8">
        <v>1</v>
      </c>
      <c r="K8" s="20">
        <v>1500</v>
      </c>
      <c r="L8" t="s">
        <v>268</v>
      </c>
      <c r="M8" t="s">
        <v>63</v>
      </c>
      <c r="N8" t="s">
        <v>26</v>
      </c>
    </row>
    <row r="9" spans="1:14" x14ac:dyDescent="0.3">
      <c r="A9" s="8">
        <v>45666</v>
      </c>
      <c r="B9" t="s">
        <v>147</v>
      </c>
      <c r="C9" t="s">
        <v>168</v>
      </c>
      <c r="D9" s="20">
        <v>3000</v>
      </c>
      <c r="E9" t="s">
        <v>367</v>
      </c>
      <c r="F9" t="s">
        <v>334</v>
      </c>
      <c r="G9" t="s">
        <v>25</v>
      </c>
      <c r="H9" t="s">
        <v>337</v>
      </c>
      <c r="I9">
        <v>1</v>
      </c>
      <c r="J9">
        <v>1</v>
      </c>
      <c r="K9" s="20">
        <v>3000</v>
      </c>
      <c r="L9" t="s">
        <v>268</v>
      </c>
      <c r="M9" t="s">
        <v>47</v>
      </c>
      <c r="N9" t="s">
        <v>26</v>
      </c>
    </row>
    <row r="10" spans="1:14" x14ac:dyDescent="0.3">
      <c r="A10" s="8">
        <v>45667</v>
      </c>
      <c r="B10" t="s">
        <v>147</v>
      </c>
      <c r="C10" t="s">
        <v>145</v>
      </c>
      <c r="D10" s="20">
        <v>21</v>
      </c>
      <c r="E10" t="s">
        <v>326</v>
      </c>
      <c r="F10" t="s">
        <v>333</v>
      </c>
      <c r="G10" t="s">
        <v>319</v>
      </c>
      <c r="H10" t="s">
        <v>336</v>
      </c>
      <c r="I10">
        <v>1</v>
      </c>
      <c r="J10">
        <v>1</v>
      </c>
      <c r="K10" s="20">
        <v>-21</v>
      </c>
      <c r="L10" t="s">
        <v>269</v>
      </c>
      <c r="M10" t="s">
        <v>318</v>
      </c>
      <c r="N10" t="s">
        <v>90</v>
      </c>
    </row>
    <row r="11" spans="1:14" x14ac:dyDescent="0.3">
      <c r="A11" s="8">
        <v>45667</v>
      </c>
      <c r="B11" t="s">
        <v>147</v>
      </c>
      <c r="C11" t="s">
        <v>152</v>
      </c>
      <c r="D11" s="20">
        <v>3500</v>
      </c>
      <c r="E11" t="s">
        <v>271</v>
      </c>
      <c r="F11" t="s">
        <v>333</v>
      </c>
      <c r="G11" t="s">
        <v>25</v>
      </c>
      <c r="H11" t="s">
        <v>336</v>
      </c>
      <c r="I11">
        <v>1</v>
      </c>
      <c r="J11">
        <v>1</v>
      </c>
      <c r="K11" s="20">
        <v>-3500</v>
      </c>
      <c r="L11" t="s">
        <v>269</v>
      </c>
      <c r="M11" t="s">
        <v>77</v>
      </c>
      <c r="N11" t="s">
        <v>26</v>
      </c>
    </row>
    <row r="12" spans="1:14" x14ac:dyDescent="0.3">
      <c r="A12" s="8">
        <v>45667</v>
      </c>
      <c r="B12" t="s">
        <v>147</v>
      </c>
      <c r="C12" t="s">
        <v>171</v>
      </c>
      <c r="D12" s="20">
        <v>5173</v>
      </c>
      <c r="E12" t="s">
        <v>368</v>
      </c>
      <c r="F12" t="s">
        <v>334</v>
      </c>
      <c r="G12" t="s">
        <v>25</v>
      </c>
      <c r="H12" t="s">
        <v>337</v>
      </c>
      <c r="I12">
        <v>1</v>
      </c>
      <c r="J12">
        <v>1</v>
      </c>
      <c r="K12" s="20">
        <v>5173</v>
      </c>
      <c r="L12" t="s">
        <v>268</v>
      </c>
      <c r="M12" t="s">
        <v>61</v>
      </c>
      <c r="N12" t="s">
        <v>26</v>
      </c>
    </row>
    <row r="13" spans="1:14" x14ac:dyDescent="0.3">
      <c r="A13" s="8">
        <v>45668</v>
      </c>
      <c r="B13" t="s">
        <v>147</v>
      </c>
      <c r="C13" t="s">
        <v>151</v>
      </c>
      <c r="D13" s="20">
        <v>400</v>
      </c>
      <c r="E13" t="s">
        <v>369</v>
      </c>
      <c r="F13" t="s">
        <v>334</v>
      </c>
      <c r="G13" t="s">
        <v>25</v>
      </c>
      <c r="H13" t="s">
        <v>337</v>
      </c>
      <c r="I13">
        <v>1</v>
      </c>
      <c r="J13">
        <v>1</v>
      </c>
      <c r="K13" s="20">
        <v>400</v>
      </c>
      <c r="L13" t="s">
        <v>268</v>
      </c>
      <c r="M13" t="s">
        <v>81</v>
      </c>
      <c r="N13" t="s">
        <v>26</v>
      </c>
    </row>
    <row r="14" spans="1:14" x14ac:dyDescent="0.3">
      <c r="A14" s="8">
        <v>45669</v>
      </c>
      <c r="B14" t="s">
        <v>147</v>
      </c>
      <c r="C14" t="s">
        <v>154</v>
      </c>
      <c r="D14" s="20">
        <v>700</v>
      </c>
      <c r="E14" t="s">
        <v>272</v>
      </c>
      <c r="F14" t="s">
        <v>333</v>
      </c>
      <c r="G14" t="s">
        <v>136</v>
      </c>
      <c r="H14" t="s">
        <v>336</v>
      </c>
      <c r="I14">
        <v>1</v>
      </c>
      <c r="J14">
        <v>1</v>
      </c>
      <c r="K14" s="20">
        <v>-700</v>
      </c>
      <c r="L14" t="s">
        <v>269</v>
      </c>
      <c r="M14" t="s">
        <v>137</v>
      </c>
      <c r="N14" t="s">
        <v>135</v>
      </c>
    </row>
    <row r="15" spans="1:14" x14ac:dyDescent="0.3">
      <c r="A15" s="8">
        <v>45670</v>
      </c>
      <c r="B15" t="s">
        <v>147</v>
      </c>
      <c r="C15" t="s">
        <v>172</v>
      </c>
      <c r="D15" s="20">
        <v>3600</v>
      </c>
      <c r="E15" t="s">
        <v>370</v>
      </c>
      <c r="F15" t="s">
        <v>334</v>
      </c>
      <c r="G15" t="s">
        <v>25</v>
      </c>
      <c r="H15" t="s">
        <v>337</v>
      </c>
      <c r="I15">
        <v>1</v>
      </c>
      <c r="J15">
        <v>1</v>
      </c>
      <c r="K15" s="20">
        <v>3600</v>
      </c>
      <c r="L15" t="s">
        <v>268</v>
      </c>
      <c r="M15" t="s">
        <v>58</v>
      </c>
      <c r="N15" t="s">
        <v>26</v>
      </c>
    </row>
    <row r="16" spans="1:14" x14ac:dyDescent="0.3">
      <c r="A16" s="8">
        <v>45671</v>
      </c>
      <c r="B16" t="s">
        <v>147</v>
      </c>
      <c r="C16" t="s">
        <v>174</v>
      </c>
      <c r="D16" s="20">
        <v>862</v>
      </c>
      <c r="E16" t="s">
        <v>371</v>
      </c>
      <c r="F16" t="s">
        <v>334</v>
      </c>
      <c r="G16" t="s">
        <v>25</v>
      </c>
      <c r="H16" t="s">
        <v>337</v>
      </c>
      <c r="I16">
        <v>1</v>
      </c>
      <c r="J16">
        <v>1</v>
      </c>
      <c r="K16" s="20">
        <v>862</v>
      </c>
      <c r="L16" t="s">
        <v>268</v>
      </c>
      <c r="M16" t="s">
        <v>60</v>
      </c>
      <c r="N16" t="s">
        <v>26</v>
      </c>
    </row>
    <row r="17" spans="1:14" x14ac:dyDescent="0.3">
      <c r="A17" s="8">
        <v>45672</v>
      </c>
      <c r="B17" t="s">
        <v>147</v>
      </c>
      <c r="C17" t="s">
        <v>342</v>
      </c>
      <c r="D17" s="20">
        <v>12131.81</v>
      </c>
      <c r="E17" t="s">
        <v>273</v>
      </c>
      <c r="F17" t="s">
        <v>333</v>
      </c>
      <c r="G17" t="s">
        <v>98</v>
      </c>
      <c r="H17" t="s">
        <v>336</v>
      </c>
      <c r="I17">
        <v>1</v>
      </c>
      <c r="J17">
        <v>1</v>
      </c>
      <c r="K17" s="20">
        <v>-12131.81</v>
      </c>
      <c r="L17" t="s">
        <v>269</v>
      </c>
      <c r="M17" t="s">
        <v>116</v>
      </c>
      <c r="N17" t="s">
        <v>94</v>
      </c>
    </row>
    <row r="18" spans="1:14" x14ac:dyDescent="0.3">
      <c r="A18" s="8">
        <v>45672</v>
      </c>
      <c r="B18" t="s">
        <v>147</v>
      </c>
      <c r="C18" t="s">
        <v>176</v>
      </c>
      <c r="D18" s="20">
        <v>1600</v>
      </c>
      <c r="E18" t="s">
        <v>375</v>
      </c>
      <c r="F18" t="s">
        <v>334</v>
      </c>
      <c r="G18" t="s">
        <v>25</v>
      </c>
      <c r="H18" t="s">
        <v>337</v>
      </c>
      <c r="I18">
        <v>1</v>
      </c>
      <c r="J18">
        <v>1</v>
      </c>
      <c r="K18" s="20">
        <v>1600</v>
      </c>
      <c r="L18" t="s">
        <v>268</v>
      </c>
      <c r="M18" t="s">
        <v>323</v>
      </c>
      <c r="N18" t="s">
        <v>26</v>
      </c>
    </row>
    <row r="19" spans="1:14" x14ac:dyDescent="0.3">
      <c r="A19" s="8">
        <v>45672</v>
      </c>
      <c r="B19" t="s">
        <v>147</v>
      </c>
      <c r="C19" t="s">
        <v>177</v>
      </c>
      <c r="D19" s="20">
        <v>5000</v>
      </c>
      <c r="E19" t="s">
        <v>373</v>
      </c>
      <c r="F19" t="s">
        <v>334</v>
      </c>
      <c r="G19" t="s">
        <v>139</v>
      </c>
      <c r="H19" t="s">
        <v>337</v>
      </c>
      <c r="I19">
        <v>1</v>
      </c>
      <c r="J19">
        <v>1</v>
      </c>
      <c r="K19" s="20">
        <v>5000</v>
      </c>
      <c r="L19" t="s">
        <v>268</v>
      </c>
      <c r="M19" t="s">
        <v>141</v>
      </c>
      <c r="N19" t="s">
        <v>26</v>
      </c>
    </row>
    <row r="20" spans="1:14" x14ac:dyDescent="0.3">
      <c r="A20" s="8">
        <v>45672</v>
      </c>
      <c r="B20" t="s">
        <v>147</v>
      </c>
      <c r="C20" t="s">
        <v>357</v>
      </c>
      <c r="D20" s="20">
        <v>21827.279999999999</v>
      </c>
      <c r="E20" t="s">
        <v>302</v>
      </c>
      <c r="F20" t="s">
        <v>333</v>
      </c>
      <c r="G20" t="s">
        <v>117</v>
      </c>
      <c r="H20" t="s">
        <v>336</v>
      </c>
      <c r="I20">
        <v>1</v>
      </c>
      <c r="J20">
        <v>1</v>
      </c>
      <c r="K20" s="20">
        <v>-21827.279999999999</v>
      </c>
      <c r="L20" t="s">
        <v>269</v>
      </c>
      <c r="M20" t="s">
        <v>118</v>
      </c>
      <c r="N20" t="s">
        <v>103</v>
      </c>
    </row>
    <row r="21" spans="1:14" x14ac:dyDescent="0.3">
      <c r="A21" s="8">
        <v>45672</v>
      </c>
      <c r="B21" t="s">
        <v>147</v>
      </c>
      <c r="C21" t="s">
        <v>156</v>
      </c>
      <c r="D21" s="20">
        <v>1400</v>
      </c>
      <c r="E21" t="s">
        <v>374</v>
      </c>
      <c r="F21" t="s">
        <v>334</v>
      </c>
      <c r="G21" t="s">
        <v>25</v>
      </c>
      <c r="H21" t="s">
        <v>337</v>
      </c>
      <c r="I21">
        <v>1</v>
      </c>
      <c r="J21">
        <v>1</v>
      </c>
      <c r="K21" s="20">
        <v>1400</v>
      </c>
      <c r="L21" t="s">
        <v>268</v>
      </c>
      <c r="M21" t="s">
        <v>75</v>
      </c>
      <c r="N21" t="s">
        <v>26</v>
      </c>
    </row>
    <row r="22" spans="1:14" x14ac:dyDescent="0.3">
      <c r="A22" s="8">
        <v>45672</v>
      </c>
      <c r="B22" t="s">
        <v>147</v>
      </c>
      <c r="C22" t="s">
        <v>155</v>
      </c>
      <c r="D22" s="20">
        <v>2000</v>
      </c>
      <c r="E22" t="s">
        <v>376</v>
      </c>
      <c r="F22" t="s">
        <v>334</v>
      </c>
      <c r="G22" t="s">
        <v>25</v>
      </c>
      <c r="H22" t="s">
        <v>337</v>
      </c>
      <c r="I22">
        <v>1</v>
      </c>
      <c r="J22">
        <v>1</v>
      </c>
      <c r="K22" s="20">
        <v>2000</v>
      </c>
      <c r="L22" t="s">
        <v>268</v>
      </c>
      <c r="M22" t="s">
        <v>29</v>
      </c>
      <c r="N22" t="s">
        <v>26</v>
      </c>
    </row>
    <row r="23" spans="1:14" x14ac:dyDescent="0.3">
      <c r="A23" s="8">
        <v>45672</v>
      </c>
      <c r="B23" t="s">
        <v>147</v>
      </c>
      <c r="C23" t="s">
        <v>175</v>
      </c>
      <c r="D23" s="20">
        <v>3000</v>
      </c>
      <c r="E23" t="s">
        <v>372</v>
      </c>
      <c r="F23" t="s">
        <v>334</v>
      </c>
      <c r="G23" t="s">
        <v>25</v>
      </c>
      <c r="H23" t="s">
        <v>337</v>
      </c>
      <c r="I23">
        <v>1</v>
      </c>
      <c r="J23">
        <v>1</v>
      </c>
      <c r="K23" s="20">
        <v>3000</v>
      </c>
      <c r="L23" t="s">
        <v>268</v>
      </c>
      <c r="M23" t="s">
        <v>43</v>
      </c>
      <c r="N23" t="s">
        <v>26</v>
      </c>
    </row>
    <row r="24" spans="1:14" x14ac:dyDescent="0.3">
      <c r="A24" s="8">
        <v>45673</v>
      </c>
      <c r="B24" t="s">
        <v>147</v>
      </c>
      <c r="C24" t="s">
        <v>179</v>
      </c>
      <c r="D24" s="20">
        <v>2000</v>
      </c>
      <c r="E24" t="s">
        <v>378</v>
      </c>
      <c r="F24" t="s">
        <v>334</v>
      </c>
      <c r="G24" t="s">
        <v>25</v>
      </c>
      <c r="H24" t="s">
        <v>337</v>
      </c>
      <c r="I24">
        <v>1</v>
      </c>
      <c r="J24">
        <v>1</v>
      </c>
      <c r="K24" s="20">
        <v>2000</v>
      </c>
      <c r="L24" t="s">
        <v>268</v>
      </c>
      <c r="M24" t="s">
        <v>45</v>
      </c>
      <c r="N24" t="s">
        <v>26</v>
      </c>
    </row>
    <row r="25" spans="1:14" x14ac:dyDescent="0.3">
      <c r="A25" s="8">
        <v>45673</v>
      </c>
      <c r="B25" t="s">
        <v>147</v>
      </c>
      <c r="C25" t="s">
        <v>163</v>
      </c>
      <c r="D25" s="20">
        <v>2000</v>
      </c>
      <c r="E25" t="s">
        <v>377</v>
      </c>
      <c r="F25" t="s">
        <v>334</v>
      </c>
      <c r="G25" t="s">
        <v>25</v>
      </c>
      <c r="H25" t="s">
        <v>337</v>
      </c>
      <c r="I25">
        <v>1</v>
      </c>
      <c r="J25">
        <v>1</v>
      </c>
      <c r="K25" s="20">
        <v>2000</v>
      </c>
      <c r="L25" t="s">
        <v>268</v>
      </c>
      <c r="M25" t="s">
        <v>34</v>
      </c>
      <c r="N25" t="s">
        <v>26</v>
      </c>
    </row>
    <row r="26" spans="1:14" x14ac:dyDescent="0.3">
      <c r="A26" s="8">
        <v>45673</v>
      </c>
      <c r="B26" t="s">
        <v>147</v>
      </c>
      <c r="C26" t="s">
        <v>155</v>
      </c>
      <c r="D26" s="20">
        <v>10000</v>
      </c>
      <c r="E26" t="s">
        <v>274</v>
      </c>
      <c r="F26" t="s">
        <v>333</v>
      </c>
      <c r="G26" t="s">
        <v>25</v>
      </c>
      <c r="H26" t="s">
        <v>336</v>
      </c>
      <c r="I26">
        <v>1</v>
      </c>
      <c r="J26">
        <v>1</v>
      </c>
      <c r="K26" s="20">
        <v>-10000</v>
      </c>
      <c r="L26" t="s">
        <v>269</v>
      </c>
      <c r="M26" t="s">
        <v>29</v>
      </c>
      <c r="N26" t="s">
        <v>26</v>
      </c>
    </row>
    <row r="27" spans="1:14" x14ac:dyDescent="0.3">
      <c r="A27" s="8">
        <v>45673</v>
      </c>
      <c r="B27" t="s">
        <v>147</v>
      </c>
      <c r="C27" t="s">
        <v>358</v>
      </c>
      <c r="D27" s="20">
        <v>800</v>
      </c>
      <c r="E27" t="s">
        <v>303</v>
      </c>
      <c r="F27" t="s">
        <v>333</v>
      </c>
      <c r="G27" t="s">
        <v>316</v>
      </c>
      <c r="H27" t="s">
        <v>336</v>
      </c>
      <c r="I27">
        <v>1</v>
      </c>
      <c r="J27">
        <v>1</v>
      </c>
      <c r="K27" s="20">
        <v>-800</v>
      </c>
      <c r="L27" t="s">
        <v>269</v>
      </c>
      <c r="M27" t="s">
        <v>104</v>
      </c>
      <c r="N27" t="s">
        <v>103</v>
      </c>
    </row>
    <row r="28" spans="1:14" x14ac:dyDescent="0.3">
      <c r="A28" s="8">
        <v>45673</v>
      </c>
      <c r="B28" t="s">
        <v>147</v>
      </c>
      <c r="C28" t="s">
        <v>156</v>
      </c>
      <c r="D28" s="20">
        <v>7000</v>
      </c>
      <c r="E28" t="s">
        <v>275</v>
      </c>
      <c r="F28" t="s">
        <v>333</v>
      </c>
      <c r="G28" t="s">
        <v>25</v>
      </c>
      <c r="H28" t="s">
        <v>336</v>
      </c>
      <c r="I28">
        <v>1</v>
      </c>
      <c r="J28">
        <v>1</v>
      </c>
      <c r="K28" s="20">
        <v>-7000</v>
      </c>
      <c r="L28" t="s">
        <v>269</v>
      </c>
      <c r="M28" t="s">
        <v>75</v>
      </c>
      <c r="N28" t="s">
        <v>26</v>
      </c>
    </row>
    <row r="29" spans="1:14" x14ac:dyDescent="0.3">
      <c r="A29" s="8">
        <v>45674</v>
      </c>
      <c r="B29" t="s">
        <v>147</v>
      </c>
      <c r="C29" t="s">
        <v>167</v>
      </c>
      <c r="D29" s="20">
        <v>1800</v>
      </c>
      <c r="E29" t="s">
        <v>365</v>
      </c>
      <c r="F29" t="s">
        <v>334</v>
      </c>
      <c r="G29" t="s">
        <v>25</v>
      </c>
      <c r="H29" t="s">
        <v>337</v>
      </c>
      <c r="I29">
        <v>1</v>
      </c>
      <c r="J29">
        <v>1</v>
      </c>
      <c r="K29" s="20">
        <v>1800</v>
      </c>
      <c r="L29" t="s">
        <v>268</v>
      </c>
      <c r="M29" t="s">
        <v>49</v>
      </c>
      <c r="N29" t="s">
        <v>26</v>
      </c>
    </row>
    <row r="30" spans="1:14" x14ac:dyDescent="0.3">
      <c r="A30" s="8">
        <v>45674</v>
      </c>
      <c r="B30" t="s">
        <v>147</v>
      </c>
      <c r="C30" t="s">
        <v>148</v>
      </c>
      <c r="D30" s="20">
        <v>24015</v>
      </c>
      <c r="E30" t="s">
        <v>324</v>
      </c>
      <c r="F30" t="s">
        <v>333</v>
      </c>
      <c r="G30" t="s">
        <v>139</v>
      </c>
      <c r="H30" t="s">
        <v>336</v>
      </c>
      <c r="I30">
        <v>1</v>
      </c>
      <c r="J30">
        <v>1</v>
      </c>
      <c r="K30" s="20">
        <v>-24015</v>
      </c>
      <c r="L30" t="s">
        <v>269</v>
      </c>
      <c r="M30" t="s">
        <v>322</v>
      </c>
      <c r="N30" t="s">
        <v>138</v>
      </c>
    </row>
    <row r="31" spans="1:14" x14ac:dyDescent="0.3">
      <c r="A31" s="8">
        <v>45675</v>
      </c>
      <c r="B31" t="s">
        <v>147</v>
      </c>
      <c r="C31" t="s">
        <v>164</v>
      </c>
      <c r="D31" s="20">
        <v>1200</v>
      </c>
      <c r="E31" t="s">
        <v>379</v>
      </c>
      <c r="F31" t="s">
        <v>334</v>
      </c>
      <c r="G31" t="s">
        <v>25</v>
      </c>
      <c r="H31" t="s">
        <v>337</v>
      </c>
      <c r="I31">
        <v>1</v>
      </c>
      <c r="J31">
        <v>1</v>
      </c>
      <c r="K31" s="20">
        <v>1200</v>
      </c>
      <c r="L31" t="s">
        <v>268</v>
      </c>
      <c r="M31" t="s">
        <v>321</v>
      </c>
      <c r="N31" t="s">
        <v>26</v>
      </c>
    </row>
    <row r="32" spans="1:14" x14ac:dyDescent="0.3">
      <c r="A32" s="8">
        <v>45675</v>
      </c>
      <c r="B32" t="s">
        <v>147</v>
      </c>
      <c r="C32" t="s">
        <v>344</v>
      </c>
      <c r="D32" s="20">
        <v>27.01</v>
      </c>
      <c r="E32" t="s">
        <v>380</v>
      </c>
      <c r="F32" t="s">
        <v>334</v>
      </c>
      <c r="G32" t="s">
        <v>10</v>
      </c>
      <c r="H32" t="s">
        <v>337</v>
      </c>
      <c r="I32">
        <v>1</v>
      </c>
      <c r="J32">
        <v>1</v>
      </c>
      <c r="K32" s="20">
        <v>27.01</v>
      </c>
      <c r="L32" t="s">
        <v>268</v>
      </c>
      <c r="M32" t="s">
        <v>4</v>
      </c>
      <c r="N32" t="s">
        <v>120</v>
      </c>
    </row>
    <row r="33" spans="1:14" x14ac:dyDescent="0.3">
      <c r="A33" s="8">
        <v>45676</v>
      </c>
      <c r="B33" t="s">
        <v>147</v>
      </c>
      <c r="C33" t="s">
        <v>150</v>
      </c>
      <c r="D33" s="20">
        <v>181</v>
      </c>
      <c r="E33" t="s">
        <v>325</v>
      </c>
      <c r="F33" t="s">
        <v>333</v>
      </c>
      <c r="G33" t="s">
        <v>319</v>
      </c>
      <c r="H33" t="s">
        <v>336</v>
      </c>
      <c r="I33">
        <v>1</v>
      </c>
      <c r="J33">
        <v>1</v>
      </c>
      <c r="K33" s="20">
        <v>-181</v>
      </c>
      <c r="L33" t="s">
        <v>269</v>
      </c>
      <c r="M33" t="s">
        <v>314</v>
      </c>
      <c r="N33" t="s">
        <v>90</v>
      </c>
    </row>
    <row r="34" spans="1:14" x14ac:dyDescent="0.3">
      <c r="A34" s="8">
        <v>45676</v>
      </c>
      <c r="B34" t="s">
        <v>147</v>
      </c>
      <c r="C34" t="s">
        <v>161</v>
      </c>
      <c r="D34" s="20">
        <v>1500</v>
      </c>
      <c r="E34" t="s">
        <v>381</v>
      </c>
      <c r="F34" t="s">
        <v>334</v>
      </c>
      <c r="G34" t="s">
        <v>25</v>
      </c>
      <c r="H34" t="s">
        <v>337</v>
      </c>
      <c r="I34">
        <v>1</v>
      </c>
      <c r="J34">
        <v>1</v>
      </c>
      <c r="K34" s="20">
        <v>1500</v>
      </c>
      <c r="L34" t="s">
        <v>268</v>
      </c>
      <c r="M34" t="s">
        <v>32</v>
      </c>
      <c r="N34" t="s">
        <v>26</v>
      </c>
    </row>
    <row r="35" spans="1:14" x14ac:dyDescent="0.3">
      <c r="A35" s="8">
        <v>45676</v>
      </c>
      <c r="B35" t="s">
        <v>147</v>
      </c>
      <c r="C35" t="s">
        <v>181</v>
      </c>
      <c r="D35" s="20">
        <v>1500</v>
      </c>
      <c r="E35" t="s">
        <v>382</v>
      </c>
      <c r="F35" t="s">
        <v>334</v>
      </c>
      <c r="G35" t="s">
        <v>25</v>
      </c>
      <c r="H35" t="s">
        <v>337</v>
      </c>
      <c r="I35">
        <v>1</v>
      </c>
      <c r="J35">
        <v>1</v>
      </c>
      <c r="K35" s="20">
        <v>1500</v>
      </c>
      <c r="L35" t="s">
        <v>268</v>
      </c>
      <c r="M35" t="s">
        <v>56</v>
      </c>
      <c r="N35" t="s">
        <v>26</v>
      </c>
    </row>
    <row r="36" spans="1:14" x14ac:dyDescent="0.3">
      <c r="A36" s="8">
        <v>45676</v>
      </c>
      <c r="B36" t="s">
        <v>147</v>
      </c>
      <c r="C36" t="s">
        <v>180</v>
      </c>
      <c r="D36" s="20">
        <v>1000</v>
      </c>
      <c r="E36" t="s">
        <v>383</v>
      </c>
      <c r="F36" t="s">
        <v>334</v>
      </c>
      <c r="G36" t="s">
        <v>25</v>
      </c>
      <c r="H36" t="s">
        <v>337</v>
      </c>
      <c r="I36">
        <v>1</v>
      </c>
      <c r="J36">
        <v>1</v>
      </c>
      <c r="K36" s="20">
        <v>1000</v>
      </c>
      <c r="L36" t="s">
        <v>268</v>
      </c>
      <c r="M36" t="s">
        <v>85</v>
      </c>
      <c r="N36" t="s">
        <v>26</v>
      </c>
    </row>
    <row r="37" spans="1:14" x14ac:dyDescent="0.3">
      <c r="A37" s="8">
        <v>45677</v>
      </c>
      <c r="B37" t="s">
        <v>147</v>
      </c>
      <c r="C37" t="s">
        <v>343</v>
      </c>
      <c r="D37" s="20">
        <v>2730.83</v>
      </c>
      <c r="E37" t="s">
        <v>312</v>
      </c>
      <c r="F37" t="s">
        <v>333</v>
      </c>
      <c r="G37" t="s">
        <v>122</v>
      </c>
      <c r="H37" t="s">
        <v>336</v>
      </c>
      <c r="I37">
        <v>1</v>
      </c>
      <c r="J37">
        <v>1</v>
      </c>
      <c r="K37" s="20">
        <v>-2730.83</v>
      </c>
      <c r="L37" t="s">
        <v>269</v>
      </c>
      <c r="M37" t="s">
        <v>311</v>
      </c>
      <c r="N37" t="s">
        <v>121</v>
      </c>
    </row>
    <row r="38" spans="1:14" x14ac:dyDescent="0.3">
      <c r="A38" s="8">
        <v>45677</v>
      </c>
      <c r="B38" t="s">
        <v>147</v>
      </c>
      <c r="C38" t="s">
        <v>160</v>
      </c>
      <c r="D38" s="20">
        <v>3000</v>
      </c>
      <c r="E38" t="s">
        <v>276</v>
      </c>
      <c r="F38" t="s">
        <v>333</v>
      </c>
      <c r="G38" t="s">
        <v>25</v>
      </c>
      <c r="H38" t="s">
        <v>336</v>
      </c>
      <c r="I38">
        <v>1</v>
      </c>
      <c r="J38">
        <v>1</v>
      </c>
      <c r="K38" s="20">
        <v>-3000</v>
      </c>
      <c r="L38" t="s">
        <v>269</v>
      </c>
      <c r="M38" t="s">
        <v>76</v>
      </c>
      <c r="N38" t="s">
        <v>26</v>
      </c>
    </row>
    <row r="39" spans="1:14" x14ac:dyDescent="0.3">
      <c r="A39" s="8">
        <v>45677</v>
      </c>
      <c r="B39" t="s">
        <v>147</v>
      </c>
      <c r="C39" t="s">
        <v>359</v>
      </c>
      <c r="D39" s="20">
        <v>3600</v>
      </c>
      <c r="E39" t="s">
        <v>304</v>
      </c>
      <c r="F39" t="s">
        <v>333</v>
      </c>
      <c r="G39" t="s">
        <v>101</v>
      </c>
      <c r="H39" t="s">
        <v>336</v>
      </c>
      <c r="I39">
        <v>1</v>
      </c>
      <c r="J39">
        <v>1</v>
      </c>
      <c r="K39" s="20">
        <v>-3600</v>
      </c>
      <c r="L39" t="s">
        <v>269</v>
      </c>
      <c r="M39" t="s">
        <v>102</v>
      </c>
      <c r="N39" t="s">
        <v>90</v>
      </c>
    </row>
    <row r="40" spans="1:14" x14ac:dyDescent="0.3">
      <c r="A40" s="8">
        <v>45682</v>
      </c>
      <c r="B40" t="s">
        <v>147</v>
      </c>
      <c r="C40" t="s">
        <v>178</v>
      </c>
      <c r="D40" s="20">
        <v>1500</v>
      </c>
      <c r="E40" t="s">
        <v>384</v>
      </c>
      <c r="F40" t="s">
        <v>334</v>
      </c>
      <c r="G40" t="s">
        <v>25</v>
      </c>
      <c r="H40" t="s">
        <v>337</v>
      </c>
      <c r="I40">
        <v>1</v>
      </c>
      <c r="J40">
        <v>1</v>
      </c>
      <c r="K40" s="20">
        <v>1500</v>
      </c>
      <c r="L40" t="s">
        <v>268</v>
      </c>
      <c r="M40" t="s">
        <v>44</v>
      </c>
      <c r="N40" t="s">
        <v>26</v>
      </c>
    </row>
    <row r="41" spans="1:14" x14ac:dyDescent="0.3">
      <c r="A41" s="8">
        <v>45682</v>
      </c>
      <c r="B41" t="s">
        <v>147</v>
      </c>
      <c r="C41" t="s">
        <v>162</v>
      </c>
      <c r="D41" s="20">
        <v>1000</v>
      </c>
      <c r="E41" t="s">
        <v>277</v>
      </c>
      <c r="F41" t="s">
        <v>333</v>
      </c>
      <c r="G41" t="s">
        <v>25</v>
      </c>
      <c r="H41" t="s">
        <v>336</v>
      </c>
      <c r="I41">
        <v>1</v>
      </c>
      <c r="J41">
        <v>1</v>
      </c>
      <c r="K41" s="20">
        <v>-1000</v>
      </c>
      <c r="L41" t="s">
        <v>269</v>
      </c>
      <c r="M41" t="s">
        <v>33</v>
      </c>
      <c r="N41" t="s">
        <v>26</v>
      </c>
    </row>
    <row r="42" spans="1:14" x14ac:dyDescent="0.3">
      <c r="A42" s="8">
        <v>45687</v>
      </c>
      <c r="B42" t="s">
        <v>147</v>
      </c>
      <c r="C42" t="s">
        <v>175</v>
      </c>
      <c r="D42" s="20">
        <v>3000</v>
      </c>
      <c r="E42" t="s">
        <v>372</v>
      </c>
      <c r="F42" t="s">
        <v>334</v>
      </c>
      <c r="G42" t="s">
        <v>25</v>
      </c>
      <c r="H42" t="s">
        <v>337</v>
      </c>
      <c r="I42">
        <v>1</v>
      </c>
      <c r="J42">
        <v>1</v>
      </c>
      <c r="K42" s="20">
        <v>3000</v>
      </c>
      <c r="L42" t="s">
        <v>268</v>
      </c>
      <c r="M42" t="s">
        <v>43</v>
      </c>
      <c r="N42" t="s">
        <v>26</v>
      </c>
    </row>
    <row r="43" spans="1:14" x14ac:dyDescent="0.3">
      <c r="A43" s="8">
        <v>45687</v>
      </c>
      <c r="B43" t="s">
        <v>147</v>
      </c>
      <c r="C43" t="s">
        <v>345</v>
      </c>
      <c r="D43" s="20">
        <v>3000</v>
      </c>
      <c r="E43" t="s">
        <v>385</v>
      </c>
      <c r="F43" t="s">
        <v>334</v>
      </c>
      <c r="G43" t="s">
        <v>25</v>
      </c>
      <c r="H43" t="s">
        <v>337</v>
      </c>
      <c r="I43">
        <v>1</v>
      </c>
      <c r="J43">
        <v>1</v>
      </c>
      <c r="K43" s="20">
        <v>3000</v>
      </c>
      <c r="L43" t="s">
        <v>268</v>
      </c>
      <c r="M43" t="s">
        <v>54</v>
      </c>
      <c r="N43" t="s">
        <v>26</v>
      </c>
    </row>
    <row r="44" spans="1:14" x14ac:dyDescent="0.3">
      <c r="A44" s="8">
        <v>45687</v>
      </c>
      <c r="B44" t="s">
        <v>147</v>
      </c>
      <c r="C44" t="s">
        <v>356</v>
      </c>
      <c r="D44" s="20">
        <v>20000</v>
      </c>
      <c r="E44" t="s">
        <v>301</v>
      </c>
      <c r="F44" t="s">
        <v>333</v>
      </c>
      <c r="G44" t="s">
        <v>133</v>
      </c>
      <c r="H44" t="s">
        <v>336</v>
      </c>
      <c r="I44">
        <v>1</v>
      </c>
      <c r="J44">
        <v>1</v>
      </c>
      <c r="K44" s="20">
        <v>-20000</v>
      </c>
      <c r="L44" t="s">
        <v>269</v>
      </c>
      <c r="M44" t="s">
        <v>134</v>
      </c>
      <c r="N44" t="s">
        <v>132</v>
      </c>
    </row>
    <row r="45" spans="1:14" x14ac:dyDescent="0.3">
      <c r="A45" s="8">
        <v>45687</v>
      </c>
      <c r="B45" t="s">
        <v>147</v>
      </c>
      <c r="C45" t="s">
        <v>155</v>
      </c>
      <c r="D45" s="20">
        <v>2000</v>
      </c>
      <c r="E45" t="s">
        <v>376</v>
      </c>
      <c r="F45" t="s">
        <v>334</v>
      </c>
      <c r="G45" t="s">
        <v>25</v>
      </c>
      <c r="H45" t="s">
        <v>337</v>
      </c>
      <c r="I45">
        <v>1</v>
      </c>
      <c r="J45">
        <v>1</v>
      </c>
      <c r="K45" s="20">
        <v>2000</v>
      </c>
      <c r="L45" t="s">
        <v>268</v>
      </c>
      <c r="M45" t="s">
        <v>29</v>
      </c>
      <c r="N45" t="s">
        <v>26</v>
      </c>
    </row>
    <row r="46" spans="1:14" x14ac:dyDescent="0.3">
      <c r="A46" s="8">
        <v>45687</v>
      </c>
      <c r="B46" t="s">
        <v>147</v>
      </c>
      <c r="C46" t="s">
        <v>152</v>
      </c>
      <c r="D46" s="20">
        <v>700</v>
      </c>
      <c r="E46" t="s">
        <v>386</v>
      </c>
      <c r="F46" t="s">
        <v>334</v>
      </c>
      <c r="G46" t="s">
        <v>25</v>
      </c>
      <c r="H46" t="s">
        <v>337</v>
      </c>
      <c r="I46">
        <v>1</v>
      </c>
      <c r="J46">
        <v>1</v>
      </c>
      <c r="K46" s="20">
        <v>700</v>
      </c>
      <c r="L46" t="s">
        <v>268</v>
      </c>
      <c r="M46" t="s">
        <v>77</v>
      </c>
      <c r="N46" t="s">
        <v>26</v>
      </c>
    </row>
    <row r="47" spans="1:14" x14ac:dyDescent="0.3">
      <c r="A47" s="8">
        <v>45687</v>
      </c>
      <c r="B47" t="s">
        <v>147</v>
      </c>
      <c r="C47" t="s">
        <v>162</v>
      </c>
      <c r="D47" s="20">
        <v>1200</v>
      </c>
      <c r="E47" t="s">
        <v>388</v>
      </c>
      <c r="F47" t="s">
        <v>334</v>
      </c>
      <c r="G47" t="s">
        <v>25</v>
      </c>
      <c r="H47" t="s">
        <v>337</v>
      </c>
      <c r="I47">
        <v>1</v>
      </c>
      <c r="J47">
        <v>1</v>
      </c>
      <c r="K47" s="20">
        <v>1200</v>
      </c>
      <c r="L47" t="s">
        <v>268</v>
      </c>
      <c r="M47" t="s">
        <v>33</v>
      </c>
      <c r="N47" t="s">
        <v>26</v>
      </c>
    </row>
    <row r="48" spans="1:14" x14ac:dyDescent="0.3">
      <c r="A48" s="8">
        <v>45687</v>
      </c>
      <c r="B48" t="s">
        <v>147</v>
      </c>
      <c r="C48" t="s">
        <v>153</v>
      </c>
      <c r="D48" s="20">
        <v>2000</v>
      </c>
      <c r="E48" t="s">
        <v>387</v>
      </c>
      <c r="F48" t="s">
        <v>334</v>
      </c>
      <c r="G48" t="s">
        <v>25</v>
      </c>
      <c r="H48" t="s">
        <v>337</v>
      </c>
      <c r="I48">
        <v>1</v>
      </c>
      <c r="J48">
        <v>1</v>
      </c>
      <c r="K48" s="20">
        <v>2000</v>
      </c>
      <c r="L48" t="s">
        <v>268</v>
      </c>
      <c r="M48" t="s">
        <v>27</v>
      </c>
      <c r="N48" t="s">
        <v>26</v>
      </c>
    </row>
    <row r="49" spans="1:14" x14ac:dyDescent="0.3">
      <c r="A49" s="8">
        <v>45687</v>
      </c>
      <c r="B49" t="s">
        <v>147</v>
      </c>
      <c r="C49" t="s">
        <v>156</v>
      </c>
      <c r="D49" s="20">
        <v>1400</v>
      </c>
      <c r="E49" t="s">
        <v>374</v>
      </c>
      <c r="F49" t="s">
        <v>334</v>
      </c>
      <c r="G49" t="s">
        <v>25</v>
      </c>
      <c r="H49" t="s">
        <v>337</v>
      </c>
      <c r="I49">
        <v>1</v>
      </c>
      <c r="J49">
        <v>1</v>
      </c>
      <c r="K49" s="20">
        <v>1400</v>
      </c>
      <c r="L49" t="s">
        <v>268</v>
      </c>
      <c r="M49" t="s">
        <v>75</v>
      </c>
      <c r="N49" t="s">
        <v>26</v>
      </c>
    </row>
    <row r="50" spans="1:14" x14ac:dyDescent="0.3">
      <c r="A50" s="8">
        <v>45687</v>
      </c>
      <c r="B50" t="s">
        <v>147</v>
      </c>
      <c r="C50" t="s">
        <v>155</v>
      </c>
      <c r="D50" s="20">
        <v>10000</v>
      </c>
      <c r="E50" t="s">
        <v>274</v>
      </c>
      <c r="F50" t="s">
        <v>333</v>
      </c>
      <c r="G50" t="s">
        <v>25</v>
      </c>
      <c r="H50" t="s">
        <v>336</v>
      </c>
      <c r="I50">
        <v>1</v>
      </c>
      <c r="J50">
        <v>1</v>
      </c>
      <c r="K50" s="20">
        <v>-10000</v>
      </c>
      <c r="L50" t="s">
        <v>269</v>
      </c>
      <c r="M50" t="s">
        <v>29</v>
      </c>
      <c r="N50" t="s">
        <v>26</v>
      </c>
    </row>
    <row r="51" spans="1:14" x14ac:dyDescent="0.3">
      <c r="A51" s="8">
        <v>45688</v>
      </c>
      <c r="B51" t="s">
        <v>147</v>
      </c>
      <c r="C51" t="s">
        <v>353</v>
      </c>
      <c r="D51" s="20">
        <v>35000</v>
      </c>
      <c r="E51" t="s">
        <v>300</v>
      </c>
      <c r="F51" t="s">
        <v>333</v>
      </c>
      <c r="G51" t="s">
        <v>130</v>
      </c>
      <c r="H51" t="s">
        <v>336</v>
      </c>
      <c r="I51">
        <v>1</v>
      </c>
      <c r="J51">
        <v>1</v>
      </c>
      <c r="K51" s="20">
        <v>-35000</v>
      </c>
      <c r="L51" t="s">
        <v>269</v>
      </c>
      <c r="M51" t="s">
        <v>131</v>
      </c>
      <c r="N51" t="s">
        <v>103</v>
      </c>
    </row>
    <row r="52" spans="1:14" x14ac:dyDescent="0.3">
      <c r="A52" s="8">
        <v>45688</v>
      </c>
      <c r="B52" t="s">
        <v>147</v>
      </c>
      <c r="C52" t="s">
        <v>164</v>
      </c>
      <c r="D52" s="20">
        <v>5000</v>
      </c>
      <c r="E52" t="s">
        <v>327</v>
      </c>
      <c r="F52" t="s">
        <v>333</v>
      </c>
      <c r="G52" t="s">
        <v>25</v>
      </c>
      <c r="H52" t="s">
        <v>336</v>
      </c>
      <c r="I52">
        <v>1</v>
      </c>
      <c r="J52">
        <v>1</v>
      </c>
      <c r="K52" s="20">
        <v>-5000</v>
      </c>
      <c r="L52" t="s">
        <v>269</v>
      </c>
      <c r="M52" t="s">
        <v>321</v>
      </c>
      <c r="N52" t="s">
        <v>26</v>
      </c>
    </row>
    <row r="53" spans="1:14" x14ac:dyDescent="0.3">
      <c r="A53" s="8">
        <v>45688</v>
      </c>
      <c r="B53" t="s">
        <v>147</v>
      </c>
      <c r="C53" t="s">
        <v>165</v>
      </c>
      <c r="D53" s="20">
        <v>2000</v>
      </c>
      <c r="E53" t="s">
        <v>278</v>
      </c>
      <c r="F53" t="s">
        <v>333</v>
      </c>
      <c r="G53" t="s">
        <v>25</v>
      </c>
      <c r="H53" t="s">
        <v>336</v>
      </c>
      <c r="I53">
        <v>1</v>
      </c>
      <c r="J53">
        <v>1</v>
      </c>
      <c r="K53" s="20">
        <v>-2000</v>
      </c>
      <c r="L53" t="s">
        <v>269</v>
      </c>
      <c r="M53" t="s">
        <v>39</v>
      </c>
      <c r="N53" t="s">
        <v>26</v>
      </c>
    </row>
    <row r="54" spans="1:14" x14ac:dyDescent="0.3">
      <c r="A54" s="8">
        <v>45688</v>
      </c>
      <c r="B54" t="s">
        <v>147</v>
      </c>
      <c r="C54" t="s">
        <v>354</v>
      </c>
      <c r="D54" s="20">
        <v>5000</v>
      </c>
      <c r="E54" t="s">
        <v>390</v>
      </c>
      <c r="F54" t="s">
        <v>334</v>
      </c>
      <c r="G54" t="s">
        <v>9</v>
      </c>
      <c r="H54" t="s">
        <v>337</v>
      </c>
      <c r="I54">
        <v>1</v>
      </c>
      <c r="J54">
        <v>1</v>
      </c>
      <c r="K54" s="20">
        <v>5000</v>
      </c>
      <c r="L54" t="s">
        <v>268</v>
      </c>
      <c r="M54" t="s">
        <v>127</v>
      </c>
      <c r="N54" t="s">
        <v>126</v>
      </c>
    </row>
    <row r="55" spans="1:14" x14ac:dyDescent="0.3">
      <c r="A55" s="8">
        <v>45688</v>
      </c>
      <c r="B55" t="s">
        <v>147</v>
      </c>
      <c r="C55" t="s">
        <v>355</v>
      </c>
      <c r="D55" s="20">
        <v>2000</v>
      </c>
      <c r="E55" t="s">
        <v>389</v>
      </c>
      <c r="F55" t="s">
        <v>334</v>
      </c>
      <c r="G55" t="s">
        <v>9</v>
      </c>
      <c r="H55" t="s">
        <v>337</v>
      </c>
      <c r="I55">
        <v>1</v>
      </c>
      <c r="J55">
        <v>1</v>
      </c>
      <c r="K55" s="20">
        <v>2000</v>
      </c>
      <c r="L55" t="s">
        <v>268</v>
      </c>
      <c r="M55" t="s">
        <v>128</v>
      </c>
      <c r="N55" t="s">
        <v>126</v>
      </c>
    </row>
    <row r="56" spans="1:14" x14ac:dyDescent="0.3">
      <c r="A56" s="8">
        <v>45689</v>
      </c>
      <c r="B56" t="s">
        <v>362</v>
      </c>
      <c r="C56" t="s">
        <v>148</v>
      </c>
      <c r="D56" s="20">
        <v>32515</v>
      </c>
      <c r="E56" t="s">
        <v>324</v>
      </c>
      <c r="F56" t="s">
        <v>333</v>
      </c>
      <c r="G56" t="s">
        <v>139</v>
      </c>
      <c r="H56" t="s">
        <v>336</v>
      </c>
      <c r="I56">
        <v>2</v>
      </c>
      <c r="J56">
        <v>1</v>
      </c>
      <c r="K56" s="20">
        <v>-32515</v>
      </c>
      <c r="L56" t="s">
        <v>269</v>
      </c>
      <c r="M56" t="s">
        <v>322</v>
      </c>
      <c r="N56" t="s">
        <v>138</v>
      </c>
    </row>
    <row r="57" spans="1:14" x14ac:dyDescent="0.3">
      <c r="A57" s="8">
        <v>45689</v>
      </c>
      <c r="B57" t="s">
        <v>362</v>
      </c>
      <c r="C57" t="s">
        <v>353</v>
      </c>
      <c r="D57" s="20">
        <v>20000</v>
      </c>
      <c r="E57" t="s">
        <v>300</v>
      </c>
      <c r="F57" t="s">
        <v>333</v>
      </c>
      <c r="G57" t="s">
        <v>130</v>
      </c>
      <c r="H57" t="s">
        <v>336</v>
      </c>
      <c r="I57">
        <v>2</v>
      </c>
      <c r="J57">
        <v>1</v>
      </c>
      <c r="K57" s="20">
        <v>-20000</v>
      </c>
      <c r="L57" t="s">
        <v>269</v>
      </c>
      <c r="M57" t="s">
        <v>131</v>
      </c>
      <c r="N57" t="s">
        <v>103</v>
      </c>
    </row>
    <row r="58" spans="1:14" x14ac:dyDescent="0.3">
      <c r="A58" s="8">
        <v>45690</v>
      </c>
      <c r="B58" t="s">
        <v>362</v>
      </c>
      <c r="C58" t="s">
        <v>160</v>
      </c>
      <c r="D58" s="20">
        <v>4000</v>
      </c>
      <c r="E58" t="s">
        <v>363</v>
      </c>
      <c r="F58" t="s">
        <v>334</v>
      </c>
      <c r="G58" t="s">
        <v>25</v>
      </c>
      <c r="H58" t="s">
        <v>337</v>
      </c>
      <c r="I58">
        <v>2</v>
      </c>
      <c r="J58">
        <v>1</v>
      </c>
      <c r="K58" s="20">
        <v>4000</v>
      </c>
      <c r="L58" t="s">
        <v>268</v>
      </c>
      <c r="M58" t="s">
        <v>76</v>
      </c>
      <c r="N58" t="s">
        <v>26</v>
      </c>
    </row>
    <row r="59" spans="1:14" x14ac:dyDescent="0.3">
      <c r="A59" s="8">
        <v>45690</v>
      </c>
      <c r="B59" t="s">
        <v>362</v>
      </c>
      <c r="C59" t="s">
        <v>148</v>
      </c>
      <c r="D59" s="20">
        <v>5515</v>
      </c>
      <c r="E59" t="s">
        <v>324</v>
      </c>
      <c r="F59" t="s">
        <v>333</v>
      </c>
      <c r="G59" t="s">
        <v>139</v>
      </c>
      <c r="H59" t="s">
        <v>336</v>
      </c>
      <c r="I59">
        <v>2</v>
      </c>
      <c r="J59">
        <v>1</v>
      </c>
      <c r="K59" s="20">
        <v>-5515</v>
      </c>
      <c r="L59" t="s">
        <v>269</v>
      </c>
      <c r="M59" t="s">
        <v>322</v>
      </c>
      <c r="N59" t="s">
        <v>138</v>
      </c>
    </row>
    <row r="60" spans="1:14" x14ac:dyDescent="0.3">
      <c r="A60" s="8">
        <v>45690</v>
      </c>
      <c r="B60" t="s">
        <v>362</v>
      </c>
      <c r="C60" t="s">
        <v>158</v>
      </c>
      <c r="D60" s="20">
        <v>5500</v>
      </c>
      <c r="E60" t="s">
        <v>391</v>
      </c>
      <c r="F60" t="s">
        <v>334</v>
      </c>
      <c r="G60" t="s">
        <v>25</v>
      </c>
      <c r="H60" t="s">
        <v>337</v>
      </c>
      <c r="I60">
        <v>2</v>
      </c>
      <c r="J60">
        <v>1</v>
      </c>
      <c r="K60" s="20">
        <v>5500</v>
      </c>
      <c r="L60" t="s">
        <v>268</v>
      </c>
      <c r="M60" t="s">
        <v>31</v>
      </c>
      <c r="N60" t="s">
        <v>26</v>
      </c>
    </row>
    <row r="61" spans="1:14" x14ac:dyDescent="0.3">
      <c r="A61" s="8">
        <v>45690</v>
      </c>
      <c r="B61" t="s">
        <v>362</v>
      </c>
      <c r="C61" t="s">
        <v>156</v>
      </c>
      <c r="D61" s="20">
        <v>10000</v>
      </c>
      <c r="E61" t="s">
        <v>275</v>
      </c>
      <c r="F61" t="s">
        <v>333</v>
      </c>
      <c r="G61" t="s">
        <v>25</v>
      </c>
      <c r="H61" t="s">
        <v>336</v>
      </c>
      <c r="I61">
        <v>2</v>
      </c>
      <c r="J61">
        <v>1</v>
      </c>
      <c r="K61" s="20">
        <v>-10000</v>
      </c>
      <c r="L61" t="s">
        <v>269</v>
      </c>
      <c r="M61" t="s">
        <v>75</v>
      </c>
      <c r="N61" t="s">
        <v>26</v>
      </c>
    </row>
    <row r="62" spans="1:14" x14ac:dyDescent="0.3">
      <c r="A62" s="8">
        <v>45690</v>
      </c>
      <c r="B62" t="s">
        <v>362</v>
      </c>
      <c r="C62" t="s">
        <v>168</v>
      </c>
      <c r="D62" s="20">
        <v>3000</v>
      </c>
      <c r="E62" t="s">
        <v>367</v>
      </c>
      <c r="F62" t="s">
        <v>334</v>
      </c>
      <c r="G62" t="s">
        <v>25</v>
      </c>
      <c r="H62" t="s">
        <v>337</v>
      </c>
      <c r="I62">
        <v>2</v>
      </c>
      <c r="J62">
        <v>1</v>
      </c>
      <c r="K62" s="20">
        <v>3000</v>
      </c>
      <c r="L62" t="s">
        <v>268</v>
      </c>
      <c r="M62" t="s">
        <v>47</v>
      </c>
      <c r="N62" t="s">
        <v>26</v>
      </c>
    </row>
    <row r="63" spans="1:14" x14ac:dyDescent="0.3">
      <c r="A63" s="8">
        <v>45691</v>
      </c>
      <c r="B63" t="s">
        <v>362</v>
      </c>
      <c r="C63" t="s">
        <v>150</v>
      </c>
      <c r="D63" s="20">
        <v>151</v>
      </c>
      <c r="E63" t="s">
        <v>325</v>
      </c>
      <c r="F63" t="s">
        <v>333</v>
      </c>
      <c r="G63" t="s">
        <v>319</v>
      </c>
      <c r="H63" t="s">
        <v>336</v>
      </c>
      <c r="I63">
        <v>2</v>
      </c>
      <c r="J63">
        <v>1</v>
      </c>
      <c r="K63" s="20">
        <v>-151</v>
      </c>
      <c r="L63" t="s">
        <v>269</v>
      </c>
      <c r="M63" t="s">
        <v>314</v>
      </c>
      <c r="N63" t="s">
        <v>90</v>
      </c>
    </row>
    <row r="64" spans="1:14" x14ac:dyDescent="0.3">
      <c r="A64" s="8">
        <v>45696</v>
      </c>
      <c r="B64" t="s">
        <v>362</v>
      </c>
      <c r="C64" t="s">
        <v>162</v>
      </c>
      <c r="D64" s="20">
        <v>1000</v>
      </c>
      <c r="E64" t="s">
        <v>277</v>
      </c>
      <c r="F64" t="s">
        <v>333</v>
      </c>
      <c r="G64" t="s">
        <v>25</v>
      </c>
      <c r="H64" t="s">
        <v>336</v>
      </c>
      <c r="I64">
        <v>2</v>
      </c>
      <c r="J64">
        <v>1</v>
      </c>
      <c r="K64" s="20">
        <v>-1000</v>
      </c>
      <c r="L64" t="s">
        <v>269</v>
      </c>
      <c r="M64" t="s">
        <v>33</v>
      </c>
      <c r="N64" t="s">
        <v>26</v>
      </c>
    </row>
    <row r="65" spans="1:14" x14ac:dyDescent="0.3">
      <c r="A65" s="8">
        <v>45699</v>
      </c>
      <c r="B65" t="s">
        <v>362</v>
      </c>
      <c r="C65" t="s">
        <v>180</v>
      </c>
      <c r="D65" s="20">
        <v>1000</v>
      </c>
      <c r="E65" t="s">
        <v>383</v>
      </c>
      <c r="F65" t="s">
        <v>334</v>
      </c>
      <c r="G65" t="s">
        <v>25</v>
      </c>
      <c r="H65" t="s">
        <v>337</v>
      </c>
      <c r="I65">
        <v>2</v>
      </c>
      <c r="J65">
        <v>1</v>
      </c>
      <c r="K65" s="20">
        <v>1000</v>
      </c>
      <c r="L65" t="s">
        <v>268</v>
      </c>
      <c r="M65" t="s">
        <v>85</v>
      </c>
      <c r="N65" t="s">
        <v>26</v>
      </c>
    </row>
    <row r="66" spans="1:14" x14ac:dyDescent="0.3">
      <c r="A66" s="8">
        <v>45699</v>
      </c>
      <c r="B66" t="s">
        <v>362</v>
      </c>
      <c r="C66" t="s">
        <v>183</v>
      </c>
      <c r="D66" s="20">
        <v>2000</v>
      </c>
      <c r="E66" t="s">
        <v>392</v>
      </c>
      <c r="F66" t="s">
        <v>334</v>
      </c>
      <c r="G66" t="s">
        <v>25</v>
      </c>
      <c r="H66" t="s">
        <v>337</v>
      </c>
      <c r="I66">
        <v>2</v>
      </c>
      <c r="J66">
        <v>1</v>
      </c>
      <c r="K66" s="20">
        <v>2000</v>
      </c>
      <c r="L66" t="s">
        <v>268</v>
      </c>
      <c r="M66" t="s">
        <v>19</v>
      </c>
      <c r="N66" t="s">
        <v>26</v>
      </c>
    </row>
    <row r="67" spans="1:14" x14ac:dyDescent="0.3">
      <c r="A67" s="8">
        <v>45700</v>
      </c>
      <c r="B67" t="s">
        <v>362</v>
      </c>
      <c r="C67" t="s">
        <v>152</v>
      </c>
      <c r="D67" s="20">
        <v>2500</v>
      </c>
      <c r="E67" t="s">
        <v>271</v>
      </c>
      <c r="F67" t="s">
        <v>333</v>
      </c>
      <c r="G67" t="s">
        <v>25</v>
      </c>
      <c r="H67" t="s">
        <v>336</v>
      </c>
      <c r="I67">
        <v>2</v>
      </c>
      <c r="J67">
        <v>1</v>
      </c>
      <c r="K67" s="20">
        <v>-2500</v>
      </c>
      <c r="L67" t="s">
        <v>269</v>
      </c>
      <c r="M67" t="s">
        <v>77</v>
      </c>
      <c r="N67" t="s">
        <v>26</v>
      </c>
    </row>
    <row r="68" spans="1:14" x14ac:dyDescent="0.3">
      <c r="A68" s="8">
        <v>45702</v>
      </c>
      <c r="B68" t="s">
        <v>362</v>
      </c>
      <c r="C68" t="s">
        <v>176</v>
      </c>
      <c r="D68" s="20">
        <v>1600</v>
      </c>
      <c r="E68" t="s">
        <v>375</v>
      </c>
      <c r="F68" t="s">
        <v>334</v>
      </c>
      <c r="G68" t="s">
        <v>25</v>
      </c>
      <c r="H68" t="s">
        <v>337</v>
      </c>
      <c r="I68">
        <v>2</v>
      </c>
      <c r="J68">
        <v>1</v>
      </c>
      <c r="K68" s="20">
        <v>1600</v>
      </c>
      <c r="L68" t="s">
        <v>268</v>
      </c>
      <c r="M68" t="s">
        <v>323</v>
      </c>
      <c r="N68" t="s">
        <v>26</v>
      </c>
    </row>
    <row r="69" spans="1:14" x14ac:dyDescent="0.3">
      <c r="A69" s="8">
        <v>45702</v>
      </c>
      <c r="B69" t="s">
        <v>362</v>
      </c>
      <c r="C69" t="s">
        <v>175</v>
      </c>
      <c r="D69" s="20">
        <v>3000</v>
      </c>
      <c r="E69" t="s">
        <v>372</v>
      </c>
      <c r="F69" t="s">
        <v>334</v>
      </c>
      <c r="G69" t="s">
        <v>25</v>
      </c>
      <c r="H69" t="s">
        <v>337</v>
      </c>
      <c r="I69">
        <v>2</v>
      </c>
      <c r="J69">
        <v>1</v>
      </c>
      <c r="K69" s="20">
        <v>3000</v>
      </c>
      <c r="L69" t="s">
        <v>268</v>
      </c>
      <c r="M69" t="s">
        <v>43</v>
      </c>
      <c r="N69" t="s">
        <v>26</v>
      </c>
    </row>
    <row r="70" spans="1:14" x14ac:dyDescent="0.3">
      <c r="A70" s="8">
        <v>45702</v>
      </c>
      <c r="B70" t="s">
        <v>362</v>
      </c>
      <c r="C70" t="s">
        <v>173</v>
      </c>
      <c r="D70" s="20">
        <v>5000</v>
      </c>
      <c r="E70" t="s">
        <v>279</v>
      </c>
      <c r="F70" t="s">
        <v>333</v>
      </c>
      <c r="G70" t="s">
        <v>25</v>
      </c>
      <c r="H70" t="s">
        <v>336</v>
      </c>
      <c r="I70">
        <v>2</v>
      </c>
      <c r="J70">
        <v>1</v>
      </c>
      <c r="K70" s="20">
        <v>-5000</v>
      </c>
      <c r="L70" t="s">
        <v>269</v>
      </c>
      <c r="M70" t="s">
        <v>41</v>
      </c>
      <c r="N70" t="s">
        <v>26</v>
      </c>
    </row>
    <row r="71" spans="1:14" x14ac:dyDescent="0.3">
      <c r="A71" s="8">
        <v>45702</v>
      </c>
      <c r="B71" t="s">
        <v>362</v>
      </c>
      <c r="C71" t="s">
        <v>152</v>
      </c>
      <c r="D71" s="20">
        <v>3500</v>
      </c>
      <c r="E71" t="s">
        <v>271</v>
      </c>
      <c r="F71" t="s">
        <v>333</v>
      </c>
      <c r="G71" t="s">
        <v>25</v>
      </c>
      <c r="H71" t="s">
        <v>336</v>
      </c>
      <c r="I71">
        <v>2</v>
      </c>
      <c r="J71">
        <v>1</v>
      </c>
      <c r="K71" s="20">
        <v>-3500</v>
      </c>
      <c r="L71" t="s">
        <v>269</v>
      </c>
      <c r="M71" t="s">
        <v>77</v>
      </c>
      <c r="N71" t="s">
        <v>26</v>
      </c>
    </row>
    <row r="72" spans="1:14" x14ac:dyDescent="0.3">
      <c r="A72" s="8">
        <v>45703</v>
      </c>
      <c r="B72" t="s">
        <v>362</v>
      </c>
      <c r="C72" t="s">
        <v>179</v>
      </c>
      <c r="D72" s="20">
        <v>2000</v>
      </c>
      <c r="E72" t="s">
        <v>378</v>
      </c>
      <c r="F72" t="s">
        <v>334</v>
      </c>
      <c r="G72" t="s">
        <v>25</v>
      </c>
      <c r="H72" t="s">
        <v>337</v>
      </c>
      <c r="I72">
        <v>2</v>
      </c>
      <c r="J72">
        <v>1</v>
      </c>
      <c r="K72" s="20">
        <v>2000</v>
      </c>
      <c r="L72" t="s">
        <v>268</v>
      </c>
      <c r="M72" t="s">
        <v>45</v>
      </c>
      <c r="N72" t="s">
        <v>26</v>
      </c>
    </row>
    <row r="73" spans="1:14" x14ac:dyDescent="0.3">
      <c r="A73" s="8">
        <v>45703</v>
      </c>
      <c r="B73" t="s">
        <v>362</v>
      </c>
      <c r="C73" t="s">
        <v>167</v>
      </c>
      <c r="D73" s="20">
        <v>1800</v>
      </c>
      <c r="E73" t="s">
        <v>365</v>
      </c>
      <c r="F73" t="s">
        <v>334</v>
      </c>
      <c r="G73" t="s">
        <v>25</v>
      </c>
      <c r="H73" t="s">
        <v>337</v>
      </c>
      <c r="I73">
        <v>2</v>
      </c>
      <c r="J73">
        <v>1</v>
      </c>
      <c r="K73" s="20">
        <v>1800</v>
      </c>
      <c r="L73" t="s">
        <v>268</v>
      </c>
      <c r="M73" t="s">
        <v>49</v>
      </c>
      <c r="N73" t="s">
        <v>26</v>
      </c>
    </row>
    <row r="74" spans="1:14" x14ac:dyDescent="0.3">
      <c r="A74" s="8">
        <v>45703</v>
      </c>
      <c r="B74" t="s">
        <v>362</v>
      </c>
      <c r="C74" t="s">
        <v>162</v>
      </c>
      <c r="D74" s="20">
        <v>2400</v>
      </c>
      <c r="E74" t="s">
        <v>388</v>
      </c>
      <c r="F74" t="s">
        <v>334</v>
      </c>
      <c r="G74" t="s">
        <v>25</v>
      </c>
      <c r="H74" t="s">
        <v>337</v>
      </c>
      <c r="I74">
        <v>2</v>
      </c>
      <c r="J74">
        <v>1</v>
      </c>
      <c r="K74" s="20">
        <v>2400</v>
      </c>
      <c r="L74" t="s">
        <v>268</v>
      </c>
      <c r="M74" t="s">
        <v>33</v>
      </c>
      <c r="N74" t="s">
        <v>26</v>
      </c>
    </row>
    <row r="75" spans="1:14" x14ac:dyDescent="0.3">
      <c r="A75" s="8">
        <v>45703</v>
      </c>
      <c r="B75" t="s">
        <v>362</v>
      </c>
      <c r="C75" t="s">
        <v>357</v>
      </c>
      <c r="D75" s="20">
        <v>10895.67</v>
      </c>
      <c r="E75" t="s">
        <v>302</v>
      </c>
      <c r="F75" t="s">
        <v>333</v>
      </c>
      <c r="G75" t="s">
        <v>117</v>
      </c>
      <c r="H75" t="s">
        <v>336</v>
      </c>
      <c r="I75">
        <v>2</v>
      </c>
      <c r="J75">
        <v>1</v>
      </c>
      <c r="K75" s="20">
        <v>-10895.67</v>
      </c>
      <c r="L75" t="s">
        <v>269</v>
      </c>
      <c r="M75" t="s">
        <v>118</v>
      </c>
      <c r="N75" t="s">
        <v>103</v>
      </c>
    </row>
    <row r="76" spans="1:14" x14ac:dyDescent="0.3">
      <c r="A76" s="8">
        <v>45703</v>
      </c>
      <c r="B76" t="s">
        <v>362</v>
      </c>
      <c r="C76" t="s">
        <v>165</v>
      </c>
      <c r="D76" s="20">
        <v>2400</v>
      </c>
      <c r="E76" t="s">
        <v>394</v>
      </c>
      <c r="F76" t="s">
        <v>334</v>
      </c>
      <c r="G76" t="s">
        <v>25</v>
      </c>
      <c r="H76" t="s">
        <v>337</v>
      </c>
      <c r="I76">
        <v>2</v>
      </c>
      <c r="J76">
        <v>1</v>
      </c>
      <c r="K76" s="20">
        <v>2400</v>
      </c>
      <c r="L76" t="s">
        <v>268</v>
      </c>
      <c r="M76" t="s">
        <v>39</v>
      </c>
      <c r="N76" t="s">
        <v>26</v>
      </c>
    </row>
    <row r="77" spans="1:14" x14ac:dyDescent="0.3">
      <c r="A77" s="8">
        <v>45703</v>
      </c>
      <c r="B77" t="s">
        <v>362</v>
      </c>
      <c r="C77" t="s">
        <v>168</v>
      </c>
      <c r="D77" s="20">
        <v>3000</v>
      </c>
      <c r="E77" t="s">
        <v>367</v>
      </c>
      <c r="F77" t="s">
        <v>334</v>
      </c>
      <c r="G77" t="s">
        <v>25</v>
      </c>
      <c r="H77" t="s">
        <v>337</v>
      </c>
      <c r="I77">
        <v>2</v>
      </c>
      <c r="J77">
        <v>1</v>
      </c>
      <c r="K77" s="20">
        <v>3000</v>
      </c>
      <c r="L77" t="s">
        <v>268</v>
      </c>
      <c r="M77" t="s">
        <v>47</v>
      </c>
      <c r="N77" t="s">
        <v>26</v>
      </c>
    </row>
    <row r="78" spans="1:14" x14ac:dyDescent="0.3">
      <c r="A78" s="8">
        <v>45703</v>
      </c>
      <c r="B78" t="s">
        <v>362</v>
      </c>
      <c r="C78" t="s">
        <v>148</v>
      </c>
      <c r="D78" s="20">
        <v>34015</v>
      </c>
      <c r="E78" t="s">
        <v>324</v>
      </c>
      <c r="F78" t="s">
        <v>333</v>
      </c>
      <c r="G78" t="s">
        <v>139</v>
      </c>
      <c r="H78" t="s">
        <v>336</v>
      </c>
      <c r="I78">
        <v>2</v>
      </c>
      <c r="J78">
        <v>1</v>
      </c>
      <c r="K78" s="20">
        <v>-34015</v>
      </c>
      <c r="L78" t="s">
        <v>269</v>
      </c>
      <c r="M78" t="s">
        <v>322</v>
      </c>
      <c r="N78" t="s">
        <v>138</v>
      </c>
    </row>
    <row r="79" spans="1:14" x14ac:dyDescent="0.3">
      <c r="A79" s="8">
        <v>45703</v>
      </c>
      <c r="B79" t="s">
        <v>362</v>
      </c>
      <c r="C79" t="s">
        <v>192</v>
      </c>
      <c r="D79" s="20">
        <v>16000</v>
      </c>
      <c r="E79" t="s">
        <v>393</v>
      </c>
      <c r="F79" t="s">
        <v>334</v>
      </c>
      <c r="G79" t="s">
        <v>25</v>
      </c>
      <c r="H79" t="s">
        <v>337</v>
      </c>
      <c r="I79">
        <v>2</v>
      </c>
      <c r="J79">
        <v>1</v>
      </c>
      <c r="K79" s="20">
        <v>16000</v>
      </c>
      <c r="L79" t="s">
        <v>268</v>
      </c>
      <c r="M79" t="s">
        <v>73</v>
      </c>
      <c r="N79" t="s">
        <v>26</v>
      </c>
    </row>
    <row r="80" spans="1:14" x14ac:dyDescent="0.3">
      <c r="A80" s="8">
        <v>45703</v>
      </c>
      <c r="B80" t="s">
        <v>362</v>
      </c>
      <c r="C80" t="s">
        <v>155</v>
      </c>
      <c r="D80" s="20">
        <v>10000</v>
      </c>
      <c r="E80" t="s">
        <v>274</v>
      </c>
      <c r="F80" t="s">
        <v>333</v>
      </c>
      <c r="G80" t="s">
        <v>25</v>
      </c>
      <c r="H80" t="s">
        <v>336</v>
      </c>
      <c r="I80">
        <v>2</v>
      </c>
      <c r="J80">
        <v>1</v>
      </c>
      <c r="K80" s="20">
        <v>-10000</v>
      </c>
      <c r="L80" t="s">
        <v>269</v>
      </c>
      <c r="M80" t="s">
        <v>29</v>
      </c>
      <c r="N80" t="s">
        <v>26</v>
      </c>
    </row>
    <row r="81" spans="1:14" x14ac:dyDescent="0.3">
      <c r="A81" s="8">
        <v>45703</v>
      </c>
      <c r="B81" t="s">
        <v>362</v>
      </c>
      <c r="C81" t="s">
        <v>155</v>
      </c>
      <c r="D81" s="20">
        <v>2000</v>
      </c>
      <c r="E81" t="s">
        <v>376</v>
      </c>
      <c r="F81" t="s">
        <v>334</v>
      </c>
      <c r="G81" t="s">
        <v>25</v>
      </c>
      <c r="H81" t="s">
        <v>337</v>
      </c>
      <c r="I81">
        <v>2</v>
      </c>
      <c r="J81">
        <v>1</v>
      </c>
      <c r="K81" s="20">
        <v>2000</v>
      </c>
      <c r="L81" t="s">
        <v>268</v>
      </c>
      <c r="M81" t="s">
        <v>29</v>
      </c>
      <c r="N81" t="s">
        <v>26</v>
      </c>
    </row>
    <row r="82" spans="1:14" x14ac:dyDescent="0.3">
      <c r="A82" s="8">
        <v>45704</v>
      </c>
      <c r="B82" t="s">
        <v>362</v>
      </c>
      <c r="C82" t="s">
        <v>185</v>
      </c>
      <c r="D82" s="20">
        <v>2000</v>
      </c>
      <c r="E82" t="s">
        <v>281</v>
      </c>
      <c r="F82" t="s">
        <v>333</v>
      </c>
      <c r="G82" t="s">
        <v>105</v>
      </c>
      <c r="H82" t="s">
        <v>336</v>
      </c>
      <c r="I82">
        <v>2</v>
      </c>
      <c r="J82">
        <v>1</v>
      </c>
      <c r="K82" s="20">
        <v>-2000</v>
      </c>
      <c r="L82" t="s">
        <v>269</v>
      </c>
      <c r="M82" t="s">
        <v>142</v>
      </c>
      <c r="N82" t="s">
        <v>335</v>
      </c>
    </row>
    <row r="83" spans="1:14" x14ac:dyDescent="0.3">
      <c r="A83" s="8">
        <v>45705</v>
      </c>
      <c r="B83" t="s">
        <v>362</v>
      </c>
      <c r="C83" t="s">
        <v>187</v>
      </c>
      <c r="D83" s="20">
        <v>5000</v>
      </c>
      <c r="E83" t="s">
        <v>282</v>
      </c>
      <c r="F83" t="s">
        <v>333</v>
      </c>
      <c r="G83" t="s">
        <v>25</v>
      </c>
      <c r="H83" t="s">
        <v>336</v>
      </c>
      <c r="I83">
        <v>2</v>
      </c>
      <c r="J83">
        <v>1</v>
      </c>
      <c r="K83" s="20">
        <v>-5000</v>
      </c>
      <c r="L83" t="s">
        <v>269</v>
      </c>
      <c r="M83" t="s">
        <v>82</v>
      </c>
      <c r="N83" t="s">
        <v>26</v>
      </c>
    </row>
    <row r="84" spans="1:14" x14ac:dyDescent="0.3">
      <c r="A84" s="8">
        <v>45705</v>
      </c>
      <c r="B84" t="s">
        <v>362</v>
      </c>
      <c r="C84" t="s">
        <v>150</v>
      </c>
      <c r="D84" s="20">
        <v>181</v>
      </c>
      <c r="E84" t="s">
        <v>325</v>
      </c>
      <c r="F84" t="s">
        <v>333</v>
      </c>
      <c r="G84" t="s">
        <v>319</v>
      </c>
      <c r="H84" t="s">
        <v>336</v>
      </c>
      <c r="I84">
        <v>2</v>
      </c>
      <c r="J84">
        <v>1</v>
      </c>
      <c r="K84" s="20">
        <v>-181</v>
      </c>
      <c r="L84" t="s">
        <v>269</v>
      </c>
      <c r="M84" t="s">
        <v>314</v>
      </c>
      <c r="N84" t="s">
        <v>90</v>
      </c>
    </row>
    <row r="85" spans="1:14" x14ac:dyDescent="0.3">
      <c r="A85" s="8">
        <v>45707</v>
      </c>
      <c r="B85" t="s">
        <v>362</v>
      </c>
      <c r="C85" t="s">
        <v>181</v>
      </c>
      <c r="D85" s="20">
        <v>2000</v>
      </c>
      <c r="E85" t="s">
        <v>382</v>
      </c>
      <c r="F85" t="s">
        <v>334</v>
      </c>
      <c r="G85" t="s">
        <v>25</v>
      </c>
      <c r="H85" t="s">
        <v>337</v>
      </c>
      <c r="I85">
        <v>2</v>
      </c>
      <c r="J85">
        <v>1</v>
      </c>
      <c r="K85" s="20">
        <v>2000</v>
      </c>
      <c r="L85" t="s">
        <v>268</v>
      </c>
      <c r="M85" t="s">
        <v>56</v>
      </c>
      <c r="N85" t="s">
        <v>26</v>
      </c>
    </row>
    <row r="86" spans="1:14" x14ac:dyDescent="0.3">
      <c r="A86" s="8">
        <v>45708</v>
      </c>
      <c r="B86" t="s">
        <v>362</v>
      </c>
      <c r="C86" t="s">
        <v>343</v>
      </c>
      <c r="D86" s="20">
        <v>2730.83</v>
      </c>
      <c r="E86" t="s">
        <v>312</v>
      </c>
      <c r="F86" t="s">
        <v>333</v>
      </c>
      <c r="G86" t="s">
        <v>122</v>
      </c>
      <c r="H86" t="s">
        <v>336</v>
      </c>
      <c r="I86">
        <v>2</v>
      </c>
      <c r="J86">
        <v>1</v>
      </c>
      <c r="K86" s="20">
        <v>-2730.83</v>
      </c>
      <c r="L86" t="s">
        <v>269</v>
      </c>
      <c r="M86" t="s">
        <v>311</v>
      </c>
      <c r="N86" t="s">
        <v>121</v>
      </c>
    </row>
    <row r="87" spans="1:14" x14ac:dyDescent="0.3">
      <c r="A87" s="8">
        <v>45708</v>
      </c>
      <c r="B87" t="s">
        <v>362</v>
      </c>
      <c r="C87" t="s">
        <v>164</v>
      </c>
      <c r="D87" s="20">
        <v>3000</v>
      </c>
      <c r="E87" t="s">
        <v>379</v>
      </c>
      <c r="F87" t="s">
        <v>334</v>
      </c>
      <c r="G87" t="s">
        <v>25</v>
      </c>
      <c r="H87" t="s">
        <v>337</v>
      </c>
      <c r="I87">
        <v>2</v>
      </c>
      <c r="J87">
        <v>1</v>
      </c>
      <c r="K87" s="20">
        <v>3000</v>
      </c>
      <c r="L87" t="s">
        <v>268</v>
      </c>
      <c r="M87" t="s">
        <v>321</v>
      </c>
      <c r="N87" t="s">
        <v>26</v>
      </c>
    </row>
    <row r="88" spans="1:14" x14ac:dyDescent="0.3">
      <c r="A88" s="8">
        <v>45708</v>
      </c>
      <c r="B88" t="s">
        <v>362</v>
      </c>
      <c r="C88" t="s">
        <v>188</v>
      </c>
      <c r="D88" s="20">
        <v>1000</v>
      </c>
      <c r="E88" t="s">
        <v>272</v>
      </c>
      <c r="F88" t="s">
        <v>333</v>
      </c>
      <c r="G88" t="s">
        <v>136</v>
      </c>
      <c r="H88" t="s">
        <v>336</v>
      </c>
      <c r="I88">
        <v>2</v>
      </c>
      <c r="J88">
        <v>1</v>
      </c>
      <c r="K88" s="20">
        <v>-1000</v>
      </c>
      <c r="L88" t="s">
        <v>269</v>
      </c>
      <c r="M88" t="s">
        <v>137</v>
      </c>
      <c r="N88" t="s">
        <v>135</v>
      </c>
    </row>
    <row r="89" spans="1:14" x14ac:dyDescent="0.3">
      <c r="A89" s="8">
        <v>45710</v>
      </c>
      <c r="B89" t="s">
        <v>362</v>
      </c>
      <c r="C89" t="s">
        <v>194</v>
      </c>
      <c r="D89" s="20">
        <v>2000</v>
      </c>
      <c r="E89" t="s">
        <v>396</v>
      </c>
      <c r="F89" t="s">
        <v>334</v>
      </c>
      <c r="G89" t="s">
        <v>25</v>
      </c>
      <c r="H89" t="s">
        <v>337</v>
      </c>
      <c r="I89">
        <v>2</v>
      </c>
      <c r="J89">
        <v>1</v>
      </c>
      <c r="K89" s="20">
        <v>2000</v>
      </c>
      <c r="L89" t="s">
        <v>268</v>
      </c>
      <c r="M89" t="s">
        <v>87</v>
      </c>
      <c r="N89" t="s">
        <v>26</v>
      </c>
    </row>
    <row r="90" spans="1:14" x14ac:dyDescent="0.3">
      <c r="A90" s="8">
        <v>45710</v>
      </c>
      <c r="B90" t="s">
        <v>362</v>
      </c>
      <c r="C90" t="s">
        <v>191</v>
      </c>
      <c r="D90" s="20">
        <v>1500</v>
      </c>
      <c r="E90" t="s">
        <v>397</v>
      </c>
      <c r="F90" t="s">
        <v>334</v>
      </c>
      <c r="G90" t="s">
        <v>25</v>
      </c>
      <c r="H90" t="s">
        <v>337</v>
      </c>
      <c r="I90">
        <v>2</v>
      </c>
      <c r="J90">
        <v>1</v>
      </c>
      <c r="K90" s="20">
        <v>1500</v>
      </c>
      <c r="L90" t="s">
        <v>268</v>
      </c>
      <c r="M90" t="s">
        <v>69</v>
      </c>
      <c r="N90" t="s">
        <v>26</v>
      </c>
    </row>
    <row r="91" spans="1:14" x14ac:dyDescent="0.3">
      <c r="A91" s="8">
        <v>45710</v>
      </c>
      <c r="B91" t="s">
        <v>362</v>
      </c>
      <c r="C91" t="s">
        <v>169</v>
      </c>
      <c r="D91" s="20">
        <v>431</v>
      </c>
      <c r="E91" t="s">
        <v>395</v>
      </c>
      <c r="F91" t="s">
        <v>334</v>
      </c>
      <c r="G91" t="s">
        <v>25</v>
      </c>
      <c r="H91" t="s">
        <v>337</v>
      </c>
      <c r="I91">
        <v>2</v>
      </c>
      <c r="J91">
        <v>1</v>
      </c>
      <c r="K91" s="20">
        <v>431</v>
      </c>
      <c r="L91" t="s">
        <v>268</v>
      </c>
      <c r="M91" t="s">
        <v>38</v>
      </c>
      <c r="N91" t="s">
        <v>26</v>
      </c>
    </row>
    <row r="92" spans="1:14" x14ac:dyDescent="0.3">
      <c r="A92" s="8">
        <v>45711</v>
      </c>
      <c r="B92" t="s">
        <v>362</v>
      </c>
      <c r="C92" t="s">
        <v>184</v>
      </c>
      <c r="D92" s="20">
        <v>290</v>
      </c>
      <c r="E92" t="s">
        <v>272</v>
      </c>
      <c r="F92" t="s">
        <v>333</v>
      </c>
      <c r="G92" t="s">
        <v>136</v>
      </c>
      <c r="H92" t="s">
        <v>336</v>
      </c>
      <c r="I92">
        <v>2</v>
      </c>
      <c r="J92">
        <v>1</v>
      </c>
      <c r="K92" s="20">
        <v>-290</v>
      </c>
      <c r="L92" t="s">
        <v>269</v>
      </c>
      <c r="M92" t="s">
        <v>137</v>
      </c>
      <c r="N92" t="s">
        <v>135</v>
      </c>
    </row>
    <row r="93" spans="1:14" x14ac:dyDescent="0.3">
      <c r="A93" s="8">
        <v>45714</v>
      </c>
      <c r="B93" t="s">
        <v>362</v>
      </c>
      <c r="C93" t="s">
        <v>189</v>
      </c>
      <c r="D93" s="20">
        <v>2015</v>
      </c>
      <c r="E93" t="s">
        <v>272</v>
      </c>
      <c r="F93" t="s">
        <v>333</v>
      </c>
      <c r="G93" t="s">
        <v>136</v>
      </c>
      <c r="H93" t="s">
        <v>336</v>
      </c>
      <c r="I93">
        <v>2</v>
      </c>
      <c r="J93">
        <v>1</v>
      </c>
      <c r="K93" s="20">
        <v>-2015</v>
      </c>
      <c r="L93" t="s">
        <v>269</v>
      </c>
      <c r="M93" t="s">
        <v>137</v>
      </c>
      <c r="N93" t="s">
        <v>135</v>
      </c>
    </row>
    <row r="94" spans="1:14" x14ac:dyDescent="0.3">
      <c r="A94" s="8">
        <v>45716</v>
      </c>
      <c r="B94" t="s">
        <v>362</v>
      </c>
      <c r="C94" t="s">
        <v>354</v>
      </c>
      <c r="D94" s="20">
        <v>10000</v>
      </c>
      <c r="E94" t="s">
        <v>390</v>
      </c>
      <c r="F94" t="s">
        <v>334</v>
      </c>
      <c r="G94" t="s">
        <v>9</v>
      </c>
      <c r="H94" t="s">
        <v>337</v>
      </c>
      <c r="I94">
        <v>2</v>
      </c>
      <c r="J94">
        <v>1</v>
      </c>
      <c r="K94" s="20">
        <v>10000</v>
      </c>
      <c r="L94" t="s">
        <v>268</v>
      </c>
      <c r="M94" t="s">
        <v>127</v>
      </c>
      <c r="N94" t="s">
        <v>126</v>
      </c>
    </row>
    <row r="95" spans="1:14" x14ac:dyDescent="0.3">
      <c r="A95" s="8">
        <v>45716</v>
      </c>
      <c r="B95" t="s">
        <v>362</v>
      </c>
      <c r="C95" t="s">
        <v>355</v>
      </c>
      <c r="D95" s="20">
        <v>3000</v>
      </c>
      <c r="E95" t="s">
        <v>389</v>
      </c>
      <c r="F95" t="s">
        <v>334</v>
      </c>
      <c r="G95" t="s">
        <v>9</v>
      </c>
      <c r="H95" t="s">
        <v>337</v>
      </c>
      <c r="I95">
        <v>2</v>
      </c>
      <c r="J95">
        <v>1</v>
      </c>
      <c r="K95" s="20">
        <v>3000</v>
      </c>
      <c r="L95" t="s">
        <v>268</v>
      </c>
      <c r="M95" t="s">
        <v>128</v>
      </c>
      <c r="N95" t="s">
        <v>126</v>
      </c>
    </row>
    <row r="96" spans="1:14" x14ac:dyDescent="0.3">
      <c r="A96" s="8">
        <v>45716</v>
      </c>
      <c r="B96" t="s">
        <v>362</v>
      </c>
      <c r="C96" t="s">
        <v>176</v>
      </c>
      <c r="D96" s="20">
        <v>1600</v>
      </c>
      <c r="E96" t="s">
        <v>375</v>
      </c>
      <c r="F96" t="s">
        <v>334</v>
      </c>
      <c r="G96" t="s">
        <v>25</v>
      </c>
      <c r="H96" t="s">
        <v>337</v>
      </c>
      <c r="I96">
        <v>2</v>
      </c>
      <c r="J96">
        <v>1</v>
      </c>
      <c r="K96" s="20">
        <v>1600</v>
      </c>
      <c r="L96" t="s">
        <v>268</v>
      </c>
      <c r="M96" t="s">
        <v>323</v>
      </c>
      <c r="N96" t="s">
        <v>26</v>
      </c>
    </row>
    <row r="97" spans="1:14" x14ac:dyDescent="0.3">
      <c r="A97" s="8">
        <v>45716</v>
      </c>
      <c r="B97" t="s">
        <v>362</v>
      </c>
      <c r="C97" t="s">
        <v>356</v>
      </c>
      <c r="D97" s="20">
        <v>15000</v>
      </c>
      <c r="E97" t="s">
        <v>301</v>
      </c>
      <c r="F97" t="s">
        <v>333</v>
      </c>
      <c r="G97" t="s">
        <v>133</v>
      </c>
      <c r="H97" t="s">
        <v>336</v>
      </c>
      <c r="I97">
        <v>2</v>
      </c>
      <c r="J97">
        <v>1</v>
      </c>
      <c r="K97" s="20">
        <v>-15000</v>
      </c>
      <c r="L97" t="s">
        <v>269</v>
      </c>
      <c r="M97" t="s">
        <v>134</v>
      </c>
      <c r="N97" t="s">
        <v>132</v>
      </c>
    </row>
    <row r="98" spans="1:14" x14ac:dyDescent="0.3">
      <c r="A98" s="8">
        <v>45716</v>
      </c>
      <c r="B98" t="s">
        <v>362</v>
      </c>
      <c r="C98" t="s">
        <v>360</v>
      </c>
      <c r="D98" s="20">
        <v>1500</v>
      </c>
      <c r="E98" t="s">
        <v>305</v>
      </c>
      <c r="F98" t="s">
        <v>333</v>
      </c>
      <c r="G98" t="s">
        <v>11</v>
      </c>
      <c r="H98" t="s">
        <v>336</v>
      </c>
      <c r="I98">
        <v>2</v>
      </c>
      <c r="J98">
        <v>1</v>
      </c>
      <c r="K98" s="20">
        <v>-1500</v>
      </c>
      <c r="L98" t="s">
        <v>269</v>
      </c>
      <c r="M98" t="s">
        <v>115</v>
      </c>
      <c r="N98" t="s">
        <v>103</v>
      </c>
    </row>
    <row r="99" spans="1:14" x14ac:dyDescent="0.3">
      <c r="A99" s="8">
        <v>45716</v>
      </c>
      <c r="B99" t="s">
        <v>362</v>
      </c>
      <c r="C99" t="s">
        <v>155</v>
      </c>
      <c r="D99" s="20">
        <v>2000</v>
      </c>
      <c r="E99" t="s">
        <v>376</v>
      </c>
      <c r="F99" t="s">
        <v>334</v>
      </c>
      <c r="G99" t="s">
        <v>25</v>
      </c>
      <c r="H99" t="s">
        <v>337</v>
      </c>
      <c r="I99">
        <v>2</v>
      </c>
      <c r="J99">
        <v>1</v>
      </c>
      <c r="K99" s="20">
        <v>2000</v>
      </c>
      <c r="L99" t="s">
        <v>268</v>
      </c>
      <c r="M99" t="s">
        <v>29</v>
      </c>
      <c r="N99" t="s">
        <v>26</v>
      </c>
    </row>
    <row r="100" spans="1:14" x14ac:dyDescent="0.3">
      <c r="A100" s="8">
        <v>45716</v>
      </c>
      <c r="B100" t="s">
        <v>362</v>
      </c>
      <c r="C100" t="s">
        <v>193</v>
      </c>
      <c r="D100" s="20">
        <v>3000</v>
      </c>
      <c r="E100" t="s">
        <v>398</v>
      </c>
      <c r="F100" t="s">
        <v>334</v>
      </c>
      <c r="G100" t="s">
        <v>25</v>
      </c>
      <c r="H100" t="s">
        <v>337</v>
      </c>
      <c r="I100">
        <v>2</v>
      </c>
      <c r="J100">
        <v>1</v>
      </c>
      <c r="K100" s="20">
        <v>3000</v>
      </c>
      <c r="L100" t="s">
        <v>268</v>
      </c>
      <c r="M100" t="s">
        <v>86</v>
      </c>
      <c r="N100" t="s">
        <v>26</v>
      </c>
    </row>
    <row r="101" spans="1:14" x14ac:dyDescent="0.3">
      <c r="A101" s="8">
        <v>45717</v>
      </c>
      <c r="B101" t="s">
        <v>149</v>
      </c>
      <c r="C101" t="s">
        <v>191</v>
      </c>
      <c r="D101" s="20">
        <v>1500</v>
      </c>
      <c r="E101" t="s">
        <v>397</v>
      </c>
      <c r="F101" t="s">
        <v>334</v>
      </c>
      <c r="G101" t="s">
        <v>25</v>
      </c>
      <c r="H101" t="s">
        <v>337</v>
      </c>
      <c r="I101">
        <v>3</v>
      </c>
      <c r="J101">
        <v>1</v>
      </c>
      <c r="K101" s="20">
        <v>1500</v>
      </c>
      <c r="L101" t="s">
        <v>268</v>
      </c>
      <c r="M101" t="s">
        <v>69</v>
      </c>
      <c r="N101" t="s">
        <v>26</v>
      </c>
    </row>
    <row r="102" spans="1:14" x14ac:dyDescent="0.3">
      <c r="A102" s="8">
        <v>45717</v>
      </c>
      <c r="B102" t="s">
        <v>149</v>
      </c>
      <c r="C102" t="s">
        <v>162</v>
      </c>
      <c r="D102" s="20">
        <v>3000</v>
      </c>
      <c r="E102" t="s">
        <v>388</v>
      </c>
      <c r="F102" t="s">
        <v>334</v>
      </c>
      <c r="G102" t="s">
        <v>25</v>
      </c>
      <c r="H102" t="s">
        <v>337</v>
      </c>
      <c r="I102">
        <v>3</v>
      </c>
      <c r="J102">
        <v>1</v>
      </c>
      <c r="K102" s="20">
        <v>3000</v>
      </c>
      <c r="L102" t="s">
        <v>268</v>
      </c>
      <c r="M102" t="s">
        <v>33</v>
      </c>
      <c r="N102" t="s">
        <v>26</v>
      </c>
    </row>
    <row r="103" spans="1:14" x14ac:dyDescent="0.3">
      <c r="A103" s="8">
        <v>45717</v>
      </c>
      <c r="B103" t="s">
        <v>149</v>
      </c>
      <c r="C103" t="s">
        <v>162</v>
      </c>
      <c r="D103" s="20">
        <v>2500</v>
      </c>
      <c r="E103" t="s">
        <v>277</v>
      </c>
      <c r="F103" t="s">
        <v>333</v>
      </c>
      <c r="G103" t="s">
        <v>25</v>
      </c>
      <c r="H103" t="s">
        <v>336</v>
      </c>
      <c r="I103">
        <v>3</v>
      </c>
      <c r="J103">
        <v>1</v>
      </c>
      <c r="K103" s="20">
        <v>-2500</v>
      </c>
      <c r="L103" t="s">
        <v>269</v>
      </c>
      <c r="M103" t="s">
        <v>33</v>
      </c>
      <c r="N103" t="s">
        <v>26</v>
      </c>
    </row>
    <row r="104" spans="1:14" x14ac:dyDescent="0.3">
      <c r="A104" s="8">
        <v>45718</v>
      </c>
      <c r="B104" t="s">
        <v>149</v>
      </c>
      <c r="C104" t="s">
        <v>159</v>
      </c>
      <c r="D104" s="20">
        <v>6000</v>
      </c>
      <c r="E104" t="s">
        <v>272</v>
      </c>
      <c r="F104" t="s">
        <v>333</v>
      </c>
      <c r="G104" t="s">
        <v>136</v>
      </c>
      <c r="H104" t="s">
        <v>336</v>
      </c>
      <c r="I104">
        <v>3</v>
      </c>
      <c r="J104">
        <v>1</v>
      </c>
      <c r="K104" s="20">
        <v>-6000</v>
      </c>
      <c r="L104" t="s">
        <v>269</v>
      </c>
      <c r="M104" t="s">
        <v>137</v>
      </c>
      <c r="N104" t="s">
        <v>135</v>
      </c>
    </row>
    <row r="105" spans="1:14" x14ac:dyDescent="0.3">
      <c r="A105" s="8">
        <v>45718</v>
      </c>
      <c r="B105" t="s">
        <v>149</v>
      </c>
      <c r="C105" t="s">
        <v>173</v>
      </c>
      <c r="D105" s="20">
        <v>800</v>
      </c>
      <c r="E105" t="s">
        <v>400</v>
      </c>
      <c r="F105" t="s">
        <v>334</v>
      </c>
      <c r="G105" t="s">
        <v>25</v>
      </c>
      <c r="H105" t="s">
        <v>337</v>
      </c>
      <c r="I105">
        <v>3</v>
      </c>
      <c r="J105">
        <v>1</v>
      </c>
      <c r="K105" s="20">
        <v>800</v>
      </c>
      <c r="L105" t="s">
        <v>268</v>
      </c>
      <c r="M105" t="s">
        <v>41</v>
      </c>
      <c r="N105" t="s">
        <v>26</v>
      </c>
    </row>
    <row r="106" spans="1:14" x14ac:dyDescent="0.3">
      <c r="A106" s="8">
        <v>45718</v>
      </c>
      <c r="B106" t="s">
        <v>149</v>
      </c>
      <c r="C106" t="s">
        <v>190</v>
      </c>
      <c r="D106" s="20">
        <v>1500</v>
      </c>
      <c r="E106" t="s">
        <v>399</v>
      </c>
      <c r="F106" t="s">
        <v>334</v>
      </c>
      <c r="G106" t="s">
        <v>25</v>
      </c>
      <c r="H106" t="s">
        <v>337</v>
      </c>
      <c r="I106">
        <v>3</v>
      </c>
      <c r="J106">
        <v>1</v>
      </c>
      <c r="K106" s="20">
        <v>1500</v>
      </c>
      <c r="L106" t="s">
        <v>268</v>
      </c>
      <c r="M106" t="s">
        <v>68</v>
      </c>
      <c r="N106" t="s">
        <v>26</v>
      </c>
    </row>
    <row r="107" spans="1:14" x14ac:dyDescent="0.3">
      <c r="A107" s="8">
        <v>45718</v>
      </c>
      <c r="B107" t="s">
        <v>149</v>
      </c>
      <c r="C107" t="s">
        <v>145</v>
      </c>
      <c r="D107" s="20">
        <v>31</v>
      </c>
      <c r="E107" t="s">
        <v>326</v>
      </c>
      <c r="F107" t="s">
        <v>333</v>
      </c>
      <c r="G107" t="s">
        <v>319</v>
      </c>
      <c r="H107" t="s">
        <v>336</v>
      </c>
      <c r="I107">
        <v>3</v>
      </c>
      <c r="J107">
        <v>1</v>
      </c>
      <c r="K107" s="20">
        <v>-31</v>
      </c>
      <c r="L107" t="s">
        <v>269</v>
      </c>
      <c r="M107" t="s">
        <v>318</v>
      </c>
      <c r="N107" t="s">
        <v>90</v>
      </c>
    </row>
    <row r="108" spans="1:14" x14ac:dyDescent="0.3">
      <c r="A108" s="8">
        <v>45721</v>
      </c>
      <c r="B108" t="s">
        <v>149</v>
      </c>
      <c r="C108" t="s">
        <v>169</v>
      </c>
      <c r="D108" s="20">
        <v>431</v>
      </c>
      <c r="E108" t="s">
        <v>395</v>
      </c>
      <c r="F108" t="s">
        <v>334</v>
      </c>
      <c r="G108" t="s">
        <v>25</v>
      </c>
      <c r="H108" t="s">
        <v>337</v>
      </c>
      <c r="I108">
        <v>3</v>
      </c>
      <c r="J108">
        <v>1</v>
      </c>
      <c r="K108" s="20">
        <v>431</v>
      </c>
      <c r="L108" t="s">
        <v>268</v>
      </c>
      <c r="M108" t="s">
        <v>38</v>
      </c>
      <c r="N108" t="s">
        <v>26</v>
      </c>
    </row>
    <row r="109" spans="1:14" x14ac:dyDescent="0.3">
      <c r="A109" s="8">
        <v>45721</v>
      </c>
      <c r="B109" t="s">
        <v>149</v>
      </c>
      <c r="C109" t="s">
        <v>342</v>
      </c>
      <c r="D109" s="20">
        <v>6505</v>
      </c>
      <c r="E109" t="s">
        <v>273</v>
      </c>
      <c r="F109" t="s">
        <v>333</v>
      </c>
      <c r="G109" t="s">
        <v>98</v>
      </c>
      <c r="H109" t="s">
        <v>336</v>
      </c>
      <c r="I109">
        <v>3</v>
      </c>
      <c r="J109">
        <v>1</v>
      </c>
      <c r="K109" s="20">
        <v>-6505</v>
      </c>
      <c r="L109" t="s">
        <v>269</v>
      </c>
      <c r="M109" t="s">
        <v>116</v>
      </c>
      <c r="N109" t="s">
        <v>94</v>
      </c>
    </row>
    <row r="110" spans="1:14" x14ac:dyDescent="0.3">
      <c r="A110" s="8">
        <v>45722</v>
      </c>
      <c r="B110" t="s">
        <v>149</v>
      </c>
      <c r="C110" t="s">
        <v>181</v>
      </c>
      <c r="D110" s="20">
        <v>2000</v>
      </c>
      <c r="E110" t="s">
        <v>382</v>
      </c>
      <c r="F110" t="s">
        <v>334</v>
      </c>
      <c r="G110" t="s">
        <v>25</v>
      </c>
      <c r="H110" t="s">
        <v>337</v>
      </c>
      <c r="I110">
        <v>3</v>
      </c>
      <c r="J110">
        <v>1</v>
      </c>
      <c r="K110" s="20">
        <v>2000</v>
      </c>
      <c r="L110" t="s">
        <v>268</v>
      </c>
      <c r="M110" t="s">
        <v>56</v>
      </c>
      <c r="N110" t="s">
        <v>26</v>
      </c>
    </row>
    <row r="111" spans="1:14" x14ac:dyDescent="0.3">
      <c r="A111" s="8">
        <v>45723</v>
      </c>
      <c r="B111" t="s">
        <v>149</v>
      </c>
      <c r="C111" t="s">
        <v>191</v>
      </c>
      <c r="D111" s="20">
        <v>1500</v>
      </c>
      <c r="E111" t="s">
        <v>397</v>
      </c>
      <c r="F111" t="s">
        <v>334</v>
      </c>
      <c r="G111" t="s">
        <v>25</v>
      </c>
      <c r="H111" t="s">
        <v>337</v>
      </c>
      <c r="I111">
        <v>3</v>
      </c>
      <c r="J111">
        <v>1</v>
      </c>
      <c r="K111" s="20">
        <v>1500</v>
      </c>
      <c r="L111" t="s">
        <v>268</v>
      </c>
      <c r="M111" t="s">
        <v>69</v>
      </c>
      <c r="N111" t="s">
        <v>26</v>
      </c>
    </row>
    <row r="112" spans="1:14" x14ac:dyDescent="0.3">
      <c r="A112" s="8">
        <v>45726</v>
      </c>
      <c r="B112" t="s">
        <v>149</v>
      </c>
      <c r="C112" t="s">
        <v>195</v>
      </c>
      <c r="D112" s="20">
        <v>151</v>
      </c>
      <c r="E112" t="s">
        <v>328</v>
      </c>
      <c r="F112" t="s">
        <v>333</v>
      </c>
      <c r="G112" t="s">
        <v>319</v>
      </c>
      <c r="H112" t="s">
        <v>336</v>
      </c>
      <c r="I112">
        <v>3</v>
      </c>
      <c r="J112">
        <v>1</v>
      </c>
      <c r="K112" s="20">
        <v>-151</v>
      </c>
      <c r="L112" t="s">
        <v>269</v>
      </c>
      <c r="M112" t="s">
        <v>315</v>
      </c>
      <c r="N112" t="s">
        <v>90</v>
      </c>
    </row>
    <row r="113" spans="1:14" x14ac:dyDescent="0.3">
      <c r="A113" s="8">
        <v>45728</v>
      </c>
      <c r="B113" t="s">
        <v>149</v>
      </c>
      <c r="C113" t="s">
        <v>183</v>
      </c>
      <c r="D113" s="20">
        <v>1500</v>
      </c>
      <c r="E113" t="s">
        <v>392</v>
      </c>
      <c r="F113" t="s">
        <v>334</v>
      </c>
      <c r="G113" t="s">
        <v>25</v>
      </c>
      <c r="H113" t="s">
        <v>337</v>
      </c>
      <c r="I113">
        <v>3</v>
      </c>
      <c r="J113">
        <v>1</v>
      </c>
      <c r="K113" s="20">
        <v>1500</v>
      </c>
      <c r="L113" t="s">
        <v>268</v>
      </c>
      <c r="M113" t="s">
        <v>19</v>
      </c>
      <c r="N113" t="s">
        <v>26</v>
      </c>
    </row>
    <row r="114" spans="1:14" x14ac:dyDescent="0.3">
      <c r="A114" s="8">
        <v>45728</v>
      </c>
      <c r="B114" t="s">
        <v>149</v>
      </c>
      <c r="C114" t="s">
        <v>196</v>
      </c>
      <c r="D114" s="20">
        <v>3500</v>
      </c>
      <c r="E114" t="s">
        <v>272</v>
      </c>
      <c r="F114" t="s">
        <v>333</v>
      </c>
      <c r="G114" t="s">
        <v>136</v>
      </c>
      <c r="H114" t="s">
        <v>336</v>
      </c>
      <c r="I114">
        <v>3</v>
      </c>
      <c r="J114">
        <v>1</v>
      </c>
      <c r="K114" s="20">
        <v>-3500</v>
      </c>
      <c r="L114" t="s">
        <v>269</v>
      </c>
      <c r="M114" t="s">
        <v>137</v>
      </c>
      <c r="N114" t="s">
        <v>135</v>
      </c>
    </row>
    <row r="115" spans="1:14" x14ac:dyDescent="0.3">
      <c r="A115" s="8">
        <v>45729</v>
      </c>
      <c r="B115" t="s">
        <v>149</v>
      </c>
      <c r="C115" t="s">
        <v>167</v>
      </c>
      <c r="D115" s="20">
        <v>1800</v>
      </c>
      <c r="E115" t="s">
        <v>365</v>
      </c>
      <c r="F115" t="s">
        <v>334</v>
      </c>
      <c r="G115" t="s">
        <v>25</v>
      </c>
      <c r="H115" t="s">
        <v>337</v>
      </c>
      <c r="I115">
        <v>3</v>
      </c>
      <c r="J115">
        <v>1</v>
      </c>
      <c r="K115" s="20">
        <v>1800</v>
      </c>
      <c r="L115" t="s">
        <v>268</v>
      </c>
      <c r="M115" t="s">
        <v>49</v>
      </c>
      <c r="N115" t="s">
        <v>26</v>
      </c>
    </row>
    <row r="116" spans="1:14" x14ac:dyDescent="0.3">
      <c r="A116" s="8">
        <v>45729</v>
      </c>
      <c r="B116" t="s">
        <v>149</v>
      </c>
      <c r="C116" t="s">
        <v>164</v>
      </c>
      <c r="D116" s="20">
        <v>1600</v>
      </c>
      <c r="E116" t="s">
        <v>379</v>
      </c>
      <c r="F116" t="s">
        <v>334</v>
      </c>
      <c r="G116" t="s">
        <v>25</v>
      </c>
      <c r="H116" t="s">
        <v>337</v>
      </c>
      <c r="I116">
        <v>3</v>
      </c>
      <c r="J116">
        <v>1</v>
      </c>
      <c r="K116" s="20">
        <v>1600</v>
      </c>
      <c r="L116" t="s">
        <v>268</v>
      </c>
      <c r="M116" t="s">
        <v>321</v>
      </c>
      <c r="N116" t="s">
        <v>26</v>
      </c>
    </row>
    <row r="117" spans="1:14" x14ac:dyDescent="0.3">
      <c r="A117" s="8">
        <v>45729</v>
      </c>
      <c r="B117" t="s">
        <v>149</v>
      </c>
      <c r="C117" t="s">
        <v>194</v>
      </c>
      <c r="D117" s="20">
        <v>3000</v>
      </c>
      <c r="E117" t="s">
        <v>396</v>
      </c>
      <c r="F117" t="s">
        <v>334</v>
      </c>
      <c r="G117" t="s">
        <v>25</v>
      </c>
      <c r="H117" t="s">
        <v>337</v>
      </c>
      <c r="I117">
        <v>3</v>
      </c>
      <c r="J117">
        <v>1</v>
      </c>
      <c r="K117" s="20">
        <v>3000</v>
      </c>
      <c r="L117" t="s">
        <v>268</v>
      </c>
      <c r="M117" t="s">
        <v>87</v>
      </c>
      <c r="N117" t="s">
        <v>26</v>
      </c>
    </row>
    <row r="118" spans="1:14" x14ac:dyDescent="0.3">
      <c r="A118" s="8">
        <v>45730</v>
      </c>
      <c r="B118" t="s">
        <v>149</v>
      </c>
      <c r="C118" t="s">
        <v>172</v>
      </c>
      <c r="D118" s="20">
        <v>3600</v>
      </c>
      <c r="E118" t="s">
        <v>370</v>
      </c>
      <c r="F118" t="s">
        <v>334</v>
      </c>
      <c r="G118" t="s">
        <v>25</v>
      </c>
      <c r="H118" t="s">
        <v>337</v>
      </c>
      <c r="I118">
        <v>3</v>
      </c>
      <c r="J118">
        <v>1</v>
      </c>
      <c r="K118" s="20">
        <v>3600</v>
      </c>
      <c r="L118" t="s">
        <v>268</v>
      </c>
      <c r="M118" t="s">
        <v>58</v>
      </c>
      <c r="N118" t="s">
        <v>26</v>
      </c>
    </row>
    <row r="119" spans="1:14" x14ac:dyDescent="0.3">
      <c r="A119" s="8">
        <v>45730</v>
      </c>
      <c r="B119" t="s">
        <v>149</v>
      </c>
      <c r="C119" t="s">
        <v>160</v>
      </c>
      <c r="D119" s="20">
        <v>5437</v>
      </c>
      <c r="E119" t="s">
        <v>363</v>
      </c>
      <c r="F119" t="s">
        <v>334</v>
      </c>
      <c r="G119" t="s">
        <v>25</v>
      </c>
      <c r="H119" t="s">
        <v>337</v>
      </c>
      <c r="I119">
        <v>3</v>
      </c>
      <c r="J119">
        <v>1</v>
      </c>
      <c r="K119" s="20">
        <v>5437</v>
      </c>
      <c r="L119" t="s">
        <v>268</v>
      </c>
      <c r="M119" t="s">
        <v>76</v>
      </c>
      <c r="N119" t="s">
        <v>26</v>
      </c>
    </row>
    <row r="120" spans="1:14" x14ac:dyDescent="0.3">
      <c r="A120" s="8">
        <v>45730</v>
      </c>
      <c r="B120" t="s">
        <v>149</v>
      </c>
      <c r="C120" t="s">
        <v>155</v>
      </c>
      <c r="D120" s="20">
        <v>2000</v>
      </c>
      <c r="E120" t="s">
        <v>376</v>
      </c>
      <c r="F120" t="s">
        <v>334</v>
      </c>
      <c r="G120" t="s">
        <v>25</v>
      </c>
      <c r="H120" t="s">
        <v>337</v>
      </c>
      <c r="I120">
        <v>3</v>
      </c>
      <c r="J120">
        <v>1</v>
      </c>
      <c r="K120" s="20">
        <v>2000</v>
      </c>
      <c r="L120" t="s">
        <v>268</v>
      </c>
      <c r="M120" t="s">
        <v>29</v>
      </c>
      <c r="N120" t="s">
        <v>26</v>
      </c>
    </row>
    <row r="121" spans="1:14" x14ac:dyDescent="0.3">
      <c r="A121" s="8">
        <v>45730</v>
      </c>
      <c r="B121" t="s">
        <v>149</v>
      </c>
      <c r="C121" t="s">
        <v>176</v>
      </c>
      <c r="D121" s="20">
        <v>1600</v>
      </c>
      <c r="E121" t="s">
        <v>375</v>
      </c>
      <c r="F121" t="s">
        <v>334</v>
      </c>
      <c r="G121" t="s">
        <v>25</v>
      </c>
      <c r="H121" t="s">
        <v>337</v>
      </c>
      <c r="I121">
        <v>3</v>
      </c>
      <c r="J121">
        <v>1</v>
      </c>
      <c r="K121" s="20">
        <v>1600</v>
      </c>
      <c r="L121" t="s">
        <v>268</v>
      </c>
      <c r="M121" t="s">
        <v>323</v>
      </c>
      <c r="N121" t="s">
        <v>26</v>
      </c>
    </row>
    <row r="122" spans="1:14" x14ac:dyDescent="0.3">
      <c r="A122" s="8">
        <v>45730</v>
      </c>
      <c r="B122" t="s">
        <v>149</v>
      </c>
      <c r="C122" t="s">
        <v>187</v>
      </c>
      <c r="D122" s="20">
        <v>2000</v>
      </c>
      <c r="E122" t="s">
        <v>401</v>
      </c>
      <c r="F122" t="s">
        <v>334</v>
      </c>
      <c r="G122" t="s">
        <v>25</v>
      </c>
      <c r="H122" t="s">
        <v>337</v>
      </c>
      <c r="I122">
        <v>3</v>
      </c>
      <c r="J122">
        <v>1</v>
      </c>
      <c r="K122" s="20">
        <v>2000</v>
      </c>
      <c r="L122" t="s">
        <v>268</v>
      </c>
      <c r="M122" t="s">
        <v>82</v>
      </c>
      <c r="N122" t="s">
        <v>26</v>
      </c>
    </row>
    <row r="123" spans="1:14" x14ac:dyDescent="0.3">
      <c r="A123" s="8">
        <v>45730</v>
      </c>
      <c r="B123" t="s">
        <v>149</v>
      </c>
      <c r="C123" t="s">
        <v>182</v>
      </c>
      <c r="D123" s="20">
        <v>400</v>
      </c>
      <c r="E123" t="s">
        <v>402</v>
      </c>
      <c r="F123" t="s">
        <v>334</v>
      </c>
      <c r="G123" t="s">
        <v>25</v>
      </c>
      <c r="H123" t="s">
        <v>337</v>
      </c>
      <c r="I123">
        <v>3</v>
      </c>
      <c r="J123">
        <v>1</v>
      </c>
      <c r="K123" s="20">
        <v>400</v>
      </c>
      <c r="L123" t="s">
        <v>268</v>
      </c>
      <c r="M123" t="s">
        <v>55</v>
      </c>
      <c r="N123" t="s">
        <v>26</v>
      </c>
    </row>
    <row r="124" spans="1:14" x14ac:dyDescent="0.3">
      <c r="A124" s="8">
        <v>45730</v>
      </c>
      <c r="B124" t="s">
        <v>149</v>
      </c>
      <c r="C124" t="s">
        <v>342</v>
      </c>
      <c r="D124" s="20">
        <v>6505</v>
      </c>
      <c r="E124" t="s">
        <v>273</v>
      </c>
      <c r="F124" t="s">
        <v>333</v>
      </c>
      <c r="G124" t="s">
        <v>98</v>
      </c>
      <c r="H124" t="s">
        <v>336</v>
      </c>
      <c r="I124">
        <v>3</v>
      </c>
      <c r="J124">
        <v>1</v>
      </c>
      <c r="K124" s="20">
        <v>-6505</v>
      </c>
      <c r="L124" t="s">
        <v>269</v>
      </c>
      <c r="M124" t="s">
        <v>116</v>
      </c>
      <c r="N124" t="s">
        <v>94</v>
      </c>
    </row>
    <row r="125" spans="1:14" x14ac:dyDescent="0.3">
      <c r="A125" s="8">
        <v>45730</v>
      </c>
      <c r="B125" t="s">
        <v>149</v>
      </c>
      <c r="C125" t="s">
        <v>155</v>
      </c>
      <c r="D125" s="20">
        <v>10000</v>
      </c>
      <c r="E125" t="s">
        <v>274</v>
      </c>
      <c r="F125" t="s">
        <v>333</v>
      </c>
      <c r="G125" t="s">
        <v>25</v>
      </c>
      <c r="H125" t="s">
        <v>336</v>
      </c>
      <c r="I125">
        <v>3</v>
      </c>
      <c r="J125">
        <v>1</v>
      </c>
      <c r="K125" s="20">
        <v>-10000</v>
      </c>
      <c r="L125" t="s">
        <v>269</v>
      </c>
      <c r="M125" t="s">
        <v>29</v>
      </c>
      <c r="N125" t="s">
        <v>26</v>
      </c>
    </row>
    <row r="126" spans="1:14" x14ac:dyDescent="0.3">
      <c r="A126" s="8">
        <v>45730</v>
      </c>
      <c r="B126" t="s">
        <v>149</v>
      </c>
      <c r="C126" t="s">
        <v>177</v>
      </c>
      <c r="D126" s="20">
        <v>6000</v>
      </c>
      <c r="E126" t="s">
        <v>373</v>
      </c>
      <c r="F126" t="s">
        <v>334</v>
      </c>
      <c r="G126" t="s">
        <v>139</v>
      </c>
      <c r="H126" t="s">
        <v>337</v>
      </c>
      <c r="I126">
        <v>3</v>
      </c>
      <c r="J126">
        <v>1</v>
      </c>
      <c r="K126" s="20">
        <v>6000</v>
      </c>
      <c r="L126" t="s">
        <v>268</v>
      </c>
      <c r="M126" t="s">
        <v>141</v>
      </c>
      <c r="N126" t="s">
        <v>26</v>
      </c>
    </row>
    <row r="127" spans="1:14" x14ac:dyDescent="0.3">
      <c r="A127" s="8">
        <v>45731</v>
      </c>
      <c r="B127" t="s">
        <v>149</v>
      </c>
      <c r="C127" t="s">
        <v>166</v>
      </c>
      <c r="D127" s="20">
        <v>750</v>
      </c>
      <c r="E127" t="s">
        <v>364</v>
      </c>
      <c r="F127" t="s">
        <v>334</v>
      </c>
      <c r="G127" t="s">
        <v>25</v>
      </c>
      <c r="H127" t="s">
        <v>337</v>
      </c>
      <c r="I127">
        <v>3</v>
      </c>
      <c r="J127">
        <v>1</v>
      </c>
      <c r="K127" s="20">
        <v>750</v>
      </c>
      <c r="L127" t="s">
        <v>268</v>
      </c>
      <c r="M127" t="s">
        <v>84</v>
      </c>
      <c r="N127" t="s">
        <v>26</v>
      </c>
    </row>
    <row r="128" spans="1:14" x14ac:dyDescent="0.3">
      <c r="A128" s="8">
        <v>45731</v>
      </c>
      <c r="B128" t="s">
        <v>149</v>
      </c>
      <c r="C128" t="s">
        <v>357</v>
      </c>
      <c r="D128" s="20">
        <v>17963.54</v>
      </c>
      <c r="E128" t="s">
        <v>302</v>
      </c>
      <c r="F128" t="s">
        <v>333</v>
      </c>
      <c r="G128" t="s">
        <v>117</v>
      </c>
      <c r="H128" t="s">
        <v>336</v>
      </c>
      <c r="I128">
        <v>3</v>
      </c>
      <c r="J128">
        <v>1</v>
      </c>
      <c r="K128" s="20">
        <v>-17963.54</v>
      </c>
      <c r="L128" t="s">
        <v>269</v>
      </c>
      <c r="M128" t="s">
        <v>118</v>
      </c>
      <c r="N128" t="s">
        <v>103</v>
      </c>
    </row>
    <row r="129" spans="1:14" x14ac:dyDescent="0.3">
      <c r="A129" s="8">
        <v>45731</v>
      </c>
      <c r="B129" t="s">
        <v>149</v>
      </c>
      <c r="C129" t="s">
        <v>193</v>
      </c>
      <c r="D129" s="20">
        <v>3000</v>
      </c>
      <c r="E129" t="s">
        <v>398</v>
      </c>
      <c r="F129" t="s">
        <v>334</v>
      </c>
      <c r="G129" t="s">
        <v>25</v>
      </c>
      <c r="H129" t="s">
        <v>337</v>
      </c>
      <c r="I129">
        <v>3</v>
      </c>
      <c r="J129">
        <v>1</v>
      </c>
      <c r="K129" s="20">
        <v>3000</v>
      </c>
      <c r="L129" t="s">
        <v>268</v>
      </c>
      <c r="M129" t="s">
        <v>86</v>
      </c>
      <c r="N129" t="s">
        <v>26</v>
      </c>
    </row>
    <row r="130" spans="1:14" x14ac:dyDescent="0.3">
      <c r="A130" s="8">
        <v>45732</v>
      </c>
      <c r="B130" t="s">
        <v>149</v>
      </c>
      <c r="C130" t="s">
        <v>148</v>
      </c>
      <c r="D130" s="20">
        <v>29015</v>
      </c>
      <c r="E130" t="s">
        <v>324</v>
      </c>
      <c r="F130" t="s">
        <v>333</v>
      </c>
      <c r="G130" t="s">
        <v>139</v>
      </c>
      <c r="H130" t="s">
        <v>336</v>
      </c>
      <c r="I130">
        <v>3</v>
      </c>
      <c r="J130">
        <v>1</v>
      </c>
      <c r="K130" s="20">
        <v>-29015</v>
      </c>
      <c r="L130" t="s">
        <v>269</v>
      </c>
      <c r="M130" t="s">
        <v>322</v>
      </c>
      <c r="N130" t="s">
        <v>138</v>
      </c>
    </row>
    <row r="131" spans="1:14" x14ac:dyDescent="0.3">
      <c r="A131" s="8">
        <v>45734</v>
      </c>
      <c r="B131" t="s">
        <v>230</v>
      </c>
      <c r="C131" t="s">
        <v>202</v>
      </c>
      <c r="D131" s="20">
        <v>500</v>
      </c>
      <c r="E131" t="s">
        <v>403</v>
      </c>
      <c r="F131" t="s">
        <v>334</v>
      </c>
      <c r="G131" t="s">
        <v>25</v>
      </c>
      <c r="H131" t="s">
        <v>337</v>
      </c>
      <c r="I131">
        <v>3</v>
      </c>
      <c r="J131">
        <v>1</v>
      </c>
      <c r="K131" s="20">
        <v>500</v>
      </c>
      <c r="L131" t="s">
        <v>268</v>
      </c>
      <c r="M131" t="s">
        <v>80</v>
      </c>
      <c r="N131" t="s">
        <v>26</v>
      </c>
    </row>
    <row r="132" spans="1:14" x14ac:dyDescent="0.3">
      <c r="A132" s="8">
        <v>45734</v>
      </c>
      <c r="B132" t="s">
        <v>230</v>
      </c>
      <c r="C132" t="s">
        <v>204</v>
      </c>
      <c r="D132" s="20">
        <v>3000</v>
      </c>
      <c r="E132" t="s">
        <v>404</v>
      </c>
      <c r="F132" t="s">
        <v>334</v>
      </c>
      <c r="G132" t="s">
        <v>25</v>
      </c>
      <c r="H132" t="s">
        <v>337</v>
      </c>
      <c r="I132">
        <v>3</v>
      </c>
      <c r="J132">
        <v>1</v>
      </c>
      <c r="K132" s="20">
        <v>3000</v>
      </c>
      <c r="L132" t="s">
        <v>268</v>
      </c>
      <c r="M132" t="s">
        <v>64</v>
      </c>
      <c r="N132" t="s">
        <v>26</v>
      </c>
    </row>
    <row r="133" spans="1:14" x14ac:dyDescent="0.3">
      <c r="A133" s="8">
        <v>45734</v>
      </c>
      <c r="B133" t="s">
        <v>149</v>
      </c>
      <c r="C133" t="s">
        <v>157</v>
      </c>
      <c r="D133" s="20">
        <v>202</v>
      </c>
      <c r="E133" t="s">
        <v>272</v>
      </c>
      <c r="F133" t="s">
        <v>333</v>
      </c>
      <c r="G133" t="s">
        <v>136</v>
      </c>
      <c r="H133" t="s">
        <v>336</v>
      </c>
      <c r="I133">
        <v>3</v>
      </c>
      <c r="J133">
        <v>1</v>
      </c>
      <c r="K133" s="20">
        <v>-202</v>
      </c>
      <c r="L133" t="s">
        <v>269</v>
      </c>
      <c r="M133" t="s">
        <v>137</v>
      </c>
      <c r="N133" t="s">
        <v>135</v>
      </c>
    </row>
    <row r="134" spans="1:14" x14ac:dyDescent="0.3">
      <c r="A134" s="8">
        <v>45736</v>
      </c>
      <c r="B134" t="s">
        <v>149</v>
      </c>
      <c r="C134" t="s">
        <v>181</v>
      </c>
      <c r="D134" s="20">
        <v>2000</v>
      </c>
      <c r="E134" t="s">
        <v>382</v>
      </c>
      <c r="F134" t="s">
        <v>334</v>
      </c>
      <c r="G134" t="s">
        <v>25</v>
      </c>
      <c r="H134" t="s">
        <v>337</v>
      </c>
      <c r="I134">
        <v>3</v>
      </c>
      <c r="J134">
        <v>1</v>
      </c>
      <c r="K134" s="20">
        <v>2000</v>
      </c>
      <c r="L134" t="s">
        <v>268</v>
      </c>
      <c r="M134" t="s">
        <v>56</v>
      </c>
      <c r="N134" t="s">
        <v>26</v>
      </c>
    </row>
    <row r="135" spans="1:14" x14ac:dyDescent="0.3">
      <c r="A135" s="8">
        <v>45737</v>
      </c>
      <c r="B135" t="s">
        <v>149</v>
      </c>
      <c r="C135" t="s">
        <v>169</v>
      </c>
      <c r="D135" s="20">
        <v>431</v>
      </c>
      <c r="E135" t="s">
        <v>395</v>
      </c>
      <c r="F135" t="s">
        <v>334</v>
      </c>
      <c r="G135" t="s">
        <v>25</v>
      </c>
      <c r="H135" t="s">
        <v>337</v>
      </c>
      <c r="I135">
        <v>3</v>
      </c>
      <c r="J135">
        <v>1</v>
      </c>
      <c r="K135" s="20">
        <v>431</v>
      </c>
      <c r="L135" t="s">
        <v>268</v>
      </c>
      <c r="M135" t="s">
        <v>38</v>
      </c>
      <c r="N135" t="s">
        <v>26</v>
      </c>
    </row>
    <row r="136" spans="1:14" x14ac:dyDescent="0.3">
      <c r="A136" s="8">
        <v>45737</v>
      </c>
      <c r="B136" t="s">
        <v>149</v>
      </c>
      <c r="C136" t="s">
        <v>343</v>
      </c>
      <c r="D136" s="20">
        <v>2730.81</v>
      </c>
      <c r="E136" t="s">
        <v>312</v>
      </c>
      <c r="F136" t="s">
        <v>333</v>
      </c>
      <c r="G136" t="s">
        <v>122</v>
      </c>
      <c r="H136" t="s">
        <v>336</v>
      </c>
      <c r="I136">
        <v>3</v>
      </c>
      <c r="J136">
        <v>1</v>
      </c>
      <c r="K136" s="20">
        <v>-2730.81</v>
      </c>
      <c r="L136" t="s">
        <v>269</v>
      </c>
      <c r="M136" t="s">
        <v>311</v>
      </c>
      <c r="N136" t="s">
        <v>121</v>
      </c>
    </row>
    <row r="137" spans="1:14" x14ac:dyDescent="0.3">
      <c r="A137" s="8">
        <v>45737</v>
      </c>
      <c r="B137" t="s">
        <v>149</v>
      </c>
      <c r="C137" t="s">
        <v>148</v>
      </c>
      <c r="D137" s="20">
        <v>100</v>
      </c>
      <c r="E137" t="s">
        <v>405</v>
      </c>
      <c r="F137" t="s">
        <v>334</v>
      </c>
      <c r="G137" t="s">
        <v>139</v>
      </c>
      <c r="H137" t="s">
        <v>337</v>
      </c>
      <c r="I137">
        <v>3</v>
      </c>
      <c r="J137">
        <v>1</v>
      </c>
      <c r="K137" s="20">
        <v>100</v>
      </c>
      <c r="L137" t="s">
        <v>268</v>
      </c>
      <c r="M137" t="s">
        <v>322</v>
      </c>
      <c r="N137" t="s">
        <v>138</v>
      </c>
    </row>
    <row r="138" spans="1:14" x14ac:dyDescent="0.3">
      <c r="A138" s="8">
        <v>45742</v>
      </c>
      <c r="B138" t="s">
        <v>149</v>
      </c>
      <c r="C138" t="s">
        <v>164</v>
      </c>
      <c r="D138" s="20">
        <v>2400</v>
      </c>
      <c r="E138" t="s">
        <v>379</v>
      </c>
      <c r="F138" t="s">
        <v>334</v>
      </c>
      <c r="G138" t="s">
        <v>25</v>
      </c>
      <c r="H138" t="s">
        <v>337</v>
      </c>
      <c r="I138">
        <v>3</v>
      </c>
      <c r="J138">
        <v>1</v>
      </c>
      <c r="K138" s="20">
        <v>2400</v>
      </c>
      <c r="L138" t="s">
        <v>268</v>
      </c>
      <c r="M138" t="s">
        <v>321</v>
      </c>
      <c r="N138" t="s">
        <v>26</v>
      </c>
    </row>
    <row r="139" spans="1:14" x14ac:dyDescent="0.3">
      <c r="A139" s="8">
        <v>45744</v>
      </c>
      <c r="B139" t="s">
        <v>149</v>
      </c>
      <c r="C139" t="s">
        <v>197</v>
      </c>
      <c r="D139" s="20">
        <v>5000</v>
      </c>
      <c r="E139" t="s">
        <v>272</v>
      </c>
      <c r="F139" t="s">
        <v>333</v>
      </c>
      <c r="G139" t="s">
        <v>136</v>
      </c>
      <c r="H139" t="s">
        <v>336</v>
      </c>
      <c r="I139">
        <v>3</v>
      </c>
      <c r="J139">
        <v>1</v>
      </c>
      <c r="K139" s="20">
        <v>-5000</v>
      </c>
      <c r="L139" t="s">
        <v>269</v>
      </c>
      <c r="M139" t="s">
        <v>137</v>
      </c>
      <c r="N139" t="s">
        <v>135</v>
      </c>
    </row>
    <row r="140" spans="1:14" x14ac:dyDescent="0.3">
      <c r="A140" s="8">
        <v>45744</v>
      </c>
      <c r="B140" t="s">
        <v>149</v>
      </c>
      <c r="C140" t="s">
        <v>155</v>
      </c>
      <c r="D140" s="20">
        <v>2000</v>
      </c>
      <c r="E140" t="s">
        <v>376</v>
      </c>
      <c r="F140" t="s">
        <v>334</v>
      </c>
      <c r="G140" t="s">
        <v>25</v>
      </c>
      <c r="H140" t="s">
        <v>337</v>
      </c>
      <c r="I140">
        <v>3</v>
      </c>
      <c r="J140">
        <v>1</v>
      </c>
      <c r="K140" s="20">
        <v>2000</v>
      </c>
      <c r="L140" t="s">
        <v>268</v>
      </c>
      <c r="M140" t="s">
        <v>29</v>
      </c>
      <c r="N140" t="s">
        <v>26</v>
      </c>
    </row>
    <row r="141" spans="1:14" x14ac:dyDescent="0.3">
      <c r="A141" s="8">
        <v>45744</v>
      </c>
      <c r="B141" t="s">
        <v>149</v>
      </c>
      <c r="C141" t="s">
        <v>176</v>
      </c>
      <c r="D141" s="20">
        <v>1600</v>
      </c>
      <c r="E141" t="s">
        <v>375</v>
      </c>
      <c r="F141" t="s">
        <v>334</v>
      </c>
      <c r="G141" t="s">
        <v>25</v>
      </c>
      <c r="H141" t="s">
        <v>337</v>
      </c>
      <c r="I141">
        <v>3</v>
      </c>
      <c r="J141">
        <v>1</v>
      </c>
      <c r="K141" s="20">
        <v>1600</v>
      </c>
      <c r="L141" t="s">
        <v>268</v>
      </c>
      <c r="M141" t="s">
        <v>323</v>
      </c>
      <c r="N141" t="s">
        <v>26</v>
      </c>
    </row>
    <row r="142" spans="1:14" x14ac:dyDescent="0.3">
      <c r="A142" s="8">
        <v>45744</v>
      </c>
      <c r="B142" t="s">
        <v>149</v>
      </c>
      <c r="C142" t="s">
        <v>160</v>
      </c>
      <c r="D142" s="20">
        <v>1252</v>
      </c>
      <c r="E142" t="s">
        <v>363</v>
      </c>
      <c r="F142" t="s">
        <v>334</v>
      </c>
      <c r="G142" t="s">
        <v>25</v>
      </c>
      <c r="H142" t="s">
        <v>337</v>
      </c>
      <c r="I142">
        <v>3</v>
      </c>
      <c r="J142">
        <v>1</v>
      </c>
      <c r="K142" s="20">
        <v>1252</v>
      </c>
      <c r="L142" t="s">
        <v>268</v>
      </c>
      <c r="M142" t="s">
        <v>76</v>
      </c>
      <c r="N142" t="s">
        <v>26</v>
      </c>
    </row>
    <row r="143" spans="1:14" x14ac:dyDescent="0.3">
      <c r="A143" s="8">
        <v>45744</v>
      </c>
      <c r="B143" t="s">
        <v>149</v>
      </c>
      <c r="C143" t="s">
        <v>186</v>
      </c>
      <c r="D143" s="20">
        <v>2400</v>
      </c>
      <c r="E143" t="s">
        <v>406</v>
      </c>
      <c r="F143" t="s">
        <v>334</v>
      </c>
      <c r="G143" t="s">
        <v>25</v>
      </c>
      <c r="H143" t="s">
        <v>337</v>
      </c>
      <c r="I143">
        <v>3</v>
      </c>
      <c r="J143">
        <v>1</v>
      </c>
      <c r="K143" s="20">
        <v>2400</v>
      </c>
      <c r="L143" t="s">
        <v>268</v>
      </c>
      <c r="M143" t="s">
        <v>62</v>
      </c>
      <c r="N143" t="s">
        <v>26</v>
      </c>
    </row>
    <row r="144" spans="1:14" x14ac:dyDescent="0.3">
      <c r="A144" s="8">
        <v>45744</v>
      </c>
      <c r="B144" t="s">
        <v>149</v>
      </c>
      <c r="C144" t="s">
        <v>187</v>
      </c>
      <c r="D144" s="20">
        <v>9500</v>
      </c>
      <c r="E144" t="s">
        <v>401</v>
      </c>
      <c r="F144" t="s">
        <v>334</v>
      </c>
      <c r="G144" t="s">
        <v>25</v>
      </c>
      <c r="H144" t="s">
        <v>337</v>
      </c>
      <c r="I144">
        <v>3</v>
      </c>
      <c r="J144">
        <v>1</v>
      </c>
      <c r="K144" s="20">
        <v>9500</v>
      </c>
      <c r="L144" t="s">
        <v>268</v>
      </c>
      <c r="M144" t="s">
        <v>82</v>
      </c>
      <c r="N144" t="s">
        <v>26</v>
      </c>
    </row>
    <row r="145" spans="1:14" x14ac:dyDescent="0.3">
      <c r="A145" s="8">
        <v>45744</v>
      </c>
      <c r="B145" t="s">
        <v>149</v>
      </c>
      <c r="C145" t="s">
        <v>155</v>
      </c>
      <c r="D145" s="20">
        <v>10000</v>
      </c>
      <c r="E145" t="s">
        <v>274</v>
      </c>
      <c r="F145" t="s">
        <v>333</v>
      </c>
      <c r="G145" t="s">
        <v>25</v>
      </c>
      <c r="H145" t="s">
        <v>336</v>
      </c>
      <c r="I145">
        <v>3</v>
      </c>
      <c r="J145">
        <v>1</v>
      </c>
      <c r="K145" s="20">
        <v>-10000</v>
      </c>
      <c r="L145" t="s">
        <v>269</v>
      </c>
      <c r="M145" t="s">
        <v>29</v>
      </c>
      <c r="N145" t="s">
        <v>26</v>
      </c>
    </row>
    <row r="146" spans="1:14" x14ac:dyDescent="0.3">
      <c r="A146" s="8">
        <v>45744</v>
      </c>
      <c r="B146" t="s">
        <v>149</v>
      </c>
      <c r="C146" t="s">
        <v>195</v>
      </c>
      <c r="D146" s="20">
        <v>151</v>
      </c>
      <c r="E146" t="s">
        <v>328</v>
      </c>
      <c r="F146" t="s">
        <v>333</v>
      </c>
      <c r="G146" t="s">
        <v>319</v>
      </c>
      <c r="H146" t="s">
        <v>336</v>
      </c>
      <c r="I146">
        <v>3</v>
      </c>
      <c r="J146">
        <v>1</v>
      </c>
      <c r="K146" s="20">
        <v>-151</v>
      </c>
      <c r="L146" t="s">
        <v>269</v>
      </c>
      <c r="M146" t="s">
        <v>315</v>
      </c>
      <c r="N146" t="s">
        <v>90</v>
      </c>
    </row>
    <row r="147" spans="1:14" x14ac:dyDescent="0.3">
      <c r="A147" s="8">
        <v>45744</v>
      </c>
      <c r="B147" t="s">
        <v>149</v>
      </c>
      <c r="C147" t="s">
        <v>167</v>
      </c>
      <c r="D147" s="20">
        <v>1800</v>
      </c>
      <c r="E147" t="s">
        <v>365</v>
      </c>
      <c r="F147" t="s">
        <v>334</v>
      </c>
      <c r="G147" t="s">
        <v>25</v>
      </c>
      <c r="H147" t="s">
        <v>337</v>
      </c>
      <c r="I147">
        <v>3</v>
      </c>
      <c r="J147">
        <v>1</v>
      </c>
      <c r="K147" s="20">
        <v>1800</v>
      </c>
      <c r="L147" t="s">
        <v>268</v>
      </c>
      <c r="M147" t="s">
        <v>49</v>
      </c>
      <c r="N147" t="s">
        <v>26</v>
      </c>
    </row>
    <row r="148" spans="1:14" x14ac:dyDescent="0.3">
      <c r="A148" s="8">
        <v>45744</v>
      </c>
      <c r="B148" t="s">
        <v>149</v>
      </c>
      <c r="C148" t="s">
        <v>164</v>
      </c>
      <c r="D148" s="20">
        <v>5000</v>
      </c>
      <c r="E148" t="s">
        <v>327</v>
      </c>
      <c r="F148" t="s">
        <v>333</v>
      </c>
      <c r="G148" t="s">
        <v>25</v>
      </c>
      <c r="H148" t="s">
        <v>336</v>
      </c>
      <c r="I148">
        <v>3</v>
      </c>
      <c r="J148">
        <v>1</v>
      </c>
      <c r="K148" s="20">
        <v>-5000</v>
      </c>
      <c r="L148" t="s">
        <v>269</v>
      </c>
      <c r="M148" t="s">
        <v>321</v>
      </c>
      <c r="N148" t="s">
        <v>26</v>
      </c>
    </row>
    <row r="149" spans="1:14" x14ac:dyDescent="0.3">
      <c r="A149" s="8">
        <v>45745</v>
      </c>
      <c r="B149" t="s">
        <v>149</v>
      </c>
      <c r="C149" t="s">
        <v>172</v>
      </c>
      <c r="D149" s="20">
        <v>3600</v>
      </c>
      <c r="E149" t="s">
        <v>370</v>
      </c>
      <c r="F149" t="s">
        <v>334</v>
      </c>
      <c r="G149" t="s">
        <v>25</v>
      </c>
      <c r="H149" t="s">
        <v>337</v>
      </c>
      <c r="I149">
        <v>3</v>
      </c>
      <c r="J149">
        <v>1</v>
      </c>
      <c r="K149" s="20">
        <v>3600</v>
      </c>
      <c r="L149" t="s">
        <v>268</v>
      </c>
      <c r="M149" t="s">
        <v>58</v>
      </c>
      <c r="N149" t="s">
        <v>26</v>
      </c>
    </row>
    <row r="150" spans="1:14" x14ac:dyDescent="0.3">
      <c r="A150" s="8">
        <v>45745</v>
      </c>
      <c r="B150" t="s">
        <v>149</v>
      </c>
      <c r="C150" t="s">
        <v>191</v>
      </c>
      <c r="D150" s="20">
        <v>1500</v>
      </c>
      <c r="E150" t="s">
        <v>397</v>
      </c>
      <c r="F150" t="s">
        <v>334</v>
      </c>
      <c r="G150" t="s">
        <v>25</v>
      </c>
      <c r="H150" t="s">
        <v>337</v>
      </c>
      <c r="I150">
        <v>3</v>
      </c>
      <c r="J150">
        <v>1</v>
      </c>
      <c r="K150" s="20">
        <v>1500</v>
      </c>
      <c r="L150" t="s">
        <v>268</v>
      </c>
      <c r="M150" t="s">
        <v>69</v>
      </c>
      <c r="N150" t="s">
        <v>26</v>
      </c>
    </row>
    <row r="151" spans="1:14" x14ac:dyDescent="0.3">
      <c r="A151" s="8">
        <v>45746</v>
      </c>
      <c r="B151" t="s">
        <v>149</v>
      </c>
      <c r="C151" t="s">
        <v>354</v>
      </c>
      <c r="D151" s="20">
        <v>10000</v>
      </c>
      <c r="E151" t="s">
        <v>390</v>
      </c>
      <c r="F151" t="s">
        <v>334</v>
      </c>
      <c r="G151" t="s">
        <v>9</v>
      </c>
      <c r="H151" t="s">
        <v>337</v>
      </c>
      <c r="I151">
        <v>3</v>
      </c>
      <c r="J151">
        <v>1</v>
      </c>
      <c r="K151" s="20">
        <v>10000</v>
      </c>
      <c r="L151" t="s">
        <v>268</v>
      </c>
      <c r="M151" t="s">
        <v>127</v>
      </c>
      <c r="N151" t="s">
        <v>126</v>
      </c>
    </row>
    <row r="152" spans="1:14" x14ac:dyDescent="0.3">
      <c r="A152" s="8">
        <v>45746</v>
      </c>
      <c r="B152" t="s">
        <v>149</v>
      </c>
      <c r="C152" t="s">
        <v>355</v>
      </c>
      <c r="D152" s="20">
        <v>5000</v>
      </c>
      <c r="E152" t="s">
        <v>389</v>
      </c>
      <c r="F152" t="s">
        <v>334</v>
      </c>
      <c r="G152" t="s">
        <v>9</v>
      </c>
      <c r="H152" t="s">
        <v>337</v>
      </c>
      <c r="I152">
        <v>3</v>
      </c>
      <c r="J152">
        <v>1</v>
      </c>
      <c r="K152" s="20">
        <v>5000</v>
      </c>
      <c r="L152" t="s">
        <v>268</v>
      </c>
      <c r="M152" t="s">
        <v>128</v>
      </c>
      <c r="N152" t="s">
        <v>126</v>
      </c>
    </row>
    <row r="153" spans="1:14" x14ac:dyDescent="0.3">
      <c r="A153" s="8">
        <v>45746</v>
      </c>
      <c r="B153" t="s">
        <v>149</v>
      </c>
      <c r="C153" t="s">
        <v>356</v>
      </c>
      <c r="D153" s="20">
        <v>15000</v>
      </c>
      <c r="E153" t="s">
        <v>301</v>
      </c>
      <c r="F153" t="s">
        <v>333</v>
      </c>
      <c r="G153" t="s">
        <v>133</v>
      </c>
      <c r="H153" t="s">
        <v>336</v>
      </c>
      <c r="I153">
        <v>3</v>
      </c>
      <c r="J153">
        <v>1</v>
      </c>
      <c r="K153" s="20">
        <v>-15000</v>
      </c>
      <c r="L153" t="s">
        <v>269</v>
      </c>
      <c r="M153" t="s">
        <v>134</v>
      </c>
      <c r="N153" t="s">
        <v>132</v>
      </c>
    </row>
    <row r="154" spans="1:14" x14ac:dyDescent="0.3">
      <c r="A154" s="8">
        <v>45746</v>
      </c>
      <c r="B154" t="s">
        <v>149</v>
      </c>
      <c r="C154" t="s">
        <v>360</v>
      </c>
      <c r="D154" s="20">
        <v>4500</v>
      </c>
      <c r="E154" t="s">
        <v>305</v>
      </c>
      <c r="F154" t="s">
        <v>333</v>
      </c>
      <c r="G154" t="s">
        <v>11</v>
      </c>
      <c r="H154" t="s">
        <v>336</v>
      </c>
      <c r="I154">
        <v>3</v>
      </c>
      <c r="J154">
        <v>1</v>
      </c>
      <c r="K154" s="20">
        <v>-4500</v>
      </c>
      <c r="L154" t="s">
        <v>269</v>
      </c>
      <c r="M154" t="s">
        <v>115</v>
      </c>
      <c r="N154" t="s">
        <v>103</v>
      </c>
    </row>
    <row r="155" spans="1:14" x14ac:dyDescent="0.3">
      <c r="A155" s="8">
        <v>45746</v>
      </c>
      <c r="B155" t="s">
        <v>149</v>
      </c>
      <c r="C155" t="s">
        <v>166</v>
      </c>
      <c r="D155" s="20">
        <v>1200</v>
      </c>
      <c r="E155" t="s">
        <v>364</v>
      </c>
      <c r="F155" t="s">
        <v>334</v>
      </c>
      <c r="G155" t="s">
        <v>25</v>
      </c>
      <c r="H155" t="s">
        <v>337</v>
      </c>
      <c r="I155">
        <v>3</v>
      </c>
      <c r="J155">
        <v>1</v>
      </c>
      <c r="K155" s="20">
        <v>1200</v>
      </c>
      <c r="L155" t="s">
        <v>268</v>
      </c>
      <c r="M155" t="s">
        <v>84</v>
      </c>
      <c r="N155" t="s">
        <v>26</v>
      </c>
    </row>
    <row r="156" spans="1:14" x14ac:dyDescent="0.3">
      <c r="A156" s="8">
        <v>45746</v>
      </c>
      <c r="B156" t="s">
        <v>149</v>
      </c>
      <c r="C156" t="s">
        <v>345</v>
      </c>
      <c r="D156" s="20">
        <v>2000</v>
      </c>
      <c r="E156" t="s">
        <v>385</v>
      </c>
      <c r="F156" t="s">
        <v>334</v>
      </c>
      <c r="G156" t="s">
        <v>25</v>
      </c>
      <c r="H156" t="s">
        <v>337</v>
      </c>
      <c r="I156">
        <v>3</v>
      </c>
      <c r="J156">
        <v>1</v>
      </c>
      <c r="K156" s="20">
        <v>2000</v>
      </c>
      <c r="L156" t="s">
        <v>268</v>
      </c>
      <c r="M156" t="s">
        <v>54</v>
      </c>
      <c r="N156" t="s">
        <v>26</v>
      </c>
    </row>
    <row r="157" spans="1:14" x14ac:dyDescent="0.3">
      <c r="A157" s="8">
        <v>45746</v>
      </c>
      <c r="B157" t="s">
        <v>149</v>
      </c>
      <c r="C157" t="s">
        <v>353</v>
      </c>
      <c r="D157" s="20">
        <v>15000</v>
      </c>
      <c r="E157" t="s">
        <v>300</v>
      </c>
      <c r="F157" t="s">
        <v>333</v>
      </c>
      <c r="G157" t="s">
        <v>130</v>
      </c>
      <c r="H157" t="s">
        <v>336</v>
      </c>
      <c r="I157">
        <v>3</v>
      </c>
      <c r="J157">
        <v>1</v>
      </c>
      <c r="K157" s="20">
        <v>-15000</v>
      </c>
      <c r="L157" t="s">
        <v>269</v>
      </c>
      <c r="M157" t="s">
        <v>131</v>
      </c>
      <c r="N157" t="s">
        <v>103</v>
      </c>
    </row>
    <row r="158" spans="1:14" x14ac:dyDescent="0.3">
      <c r="A158" s="8">
        <v>45746</v>
      </c>
      <c r="B158" t="s">
        <v>149</v>
      </c>
      <c r="C158" t="s">
        <v>361</v>
      </c>
      <c r="D158" s="20">
        <v>4500</v>
      </c>
      <c r="E158" t="s">
        <v>306</v>
      </c>
      <c r="F158" t="s">
        <v>333</v>
      </c>
      <c r="G158" t="s">
        <v>124</v>
      </c>
      <c r="H158" t="s">
        <v>336</v>
      </c>
      <c r="I158">
        <v>3</v>
      </c>
      <c r="J158">
        <v>1</v>
      </c>
      <c r="K158" s="20">
        <v>-4500</v>
      </c>
      <c r="L158" t="s">
        <v>269</v>
      </c>
      <c r="M158" t="s">
        <v>125</v>
      </c>
      <c r="N158" t="s">
        <v>103</v>
      </c>
    </row>
    <row r="159" spans="1:14" x14ac:dyDescent="0.3">
      <c r="A159" s="8">
        <v>45747</v>
      </c>
      <c r="B159" t="s">
        <v>149</v>
      </c>
      <c r="C159" t="s">
        <v>148</v>
      </c>
      <c r="D159" s="20">
        <v>15015</v>
      </c>
      <c r="E159" t="s">
        <v>324</v>
      </c>
      <c r="F159" t="s">
        <v>333</v>
      </c>
      <c r="G159" t="s">
        <v>139</v>
      </c>
      <c r="H159" t="s">
        <v>336</v>
      </c>
      <c r="I159">
        <v>3</v>
      </c>
      <c r="J159">
        <v>1</v>
      </c>
      <c r="K159" s="20">
        <v>-15015</v>
      </c>
      <c r="L159" t="s">
        <v>269</v>
      </c>
      <c r="M159" t="s">
        <v>322</v>
      </c>
      <c r="N159" t="s">
        <v>138</v>
      </c>
    </row>
    <row r="160" spans="1:14" x14ac:dyDescent="0.3">
      <c r="A160" s="8">
        <v>45747</v>
      </c>
      <c r="B160" t="s">
        <v>149</v>
      </c>
      <c r="C160" t="s">
        <v>344</v>
      </c>
      <c r="D160" s="20">
        <v>500</v>
      </c>
      <c r="E160" t="s">
        <v>280</v>
      </c>
      <c r="F160" t="s">
        <v>333</v>
      </c>
      <c r="G160" t="s">
        <v>10</v>
      </c>
      <c r="H160" t="s">
        <v>336</v>
      </c>
      <c r="I160">
        <v>3</v>
      </c>
      <c r="J160">
        <v>1</v>
      </c>
      <c r="K160" s="20">
        <v>-500</v>
      </c>
      <c r="L160" t="s">
        <v>269</v>
      </c>
      <c r="M160" t="s">
        <v>4</v>
      </c>
      <c r="N160" t="s">
        <v>120</v>
      </c>
    </row>
    <row r="161" spans="1:14" x14ac:dyDescent="0.3">
      <c r="A161" s="8">
        <v>45748</v>
      </c>
      <c r="B161" t="s">
        <v>198</v>
      </c>
      <c r="C161" t="s">
        <v>189</v>
      </c>
      <c r="D161" s="20">
        <v>3515</v>
      </c>
      <c r="E161" t="s">
        <v>272</v>
      </c>
      <c r="F161" t="s">
        <v>333</v>
      </c>
      <c r="G161" t="s">
        <v>136</v>
      </c>
      <c r="H161" t="s">
        <v>336</v>
      </c>
      <c r="I161">
        <v>4</v>
      </c>
      <c r="J161">
        <v>2</v>
      </c>
      <c r="K161" s="20">
        <v>-3515</v>
      </c>
      <c r="L161" t="s">
        <v>269</v>
      </c>
      <c r="M161" t="s">
        <v>137</v>
      </c>
      <c r="N161" t="s">
        <v>135</v>
      </c>
    </row>
    <row r="162" spans="1:14" x14ac:dyDescent="0.3">
      <c r="A162" s="8">
        <v>45748</v>
      </c>
      <c r="B162" t="s">
        <v>198</v>
      </c>
      <c r="C162" t="s">
        <v>171</v>
      </c>
      <c r="D162" s="20">
        <v>2760</v>
      </c>
      <c r="E162" t="s">
        <v>368</v>
      </c>
      <c r="F162" t="s">
        <v>334</v>
      </c>
      <c r="G162" t="s">
        <v>25</v>
      </c>
      <c r="H162" t="s">
        <v>337</v>
      </c>
      <c r="I162">
        <v>4</v>
      </c>
      <c r="J162">
        <v>2</v>
      </c>
      <c r="K162" s="20">
        <v>2760</v>
      </c>
      <c r="L162" t="s">
        <v>268</v>
      </c>
      <c r="M162" t="s">
        <v>61</v>
      </c>
      <c r="N162" t="s">
        <v>26</v>
      </c>
    </row>
    <row r="163" spans="1:14" x14ac:dyDescent="0.3">
      <c r="A163" s="8">
        <v>45748</v>
      </c>
      <c r="B163" t="s">
        <v>198</v>
      </c>
      <c r="C163" t="s">
        <v>199</v>
      </c>
      <c r="D163" s="20">
        <v>2100</v>
      </c>
      <c r="E163" t="s">
        <v>272</v>
      </c>
      <c r="F163" t="s">
        <v>333</v>
      </c>
      <c r="G163" t="s">
        <v>136</v>
      </c>
      <c r="H163" t="s">
        <v>336</v>
      </c>
      <c r="I163">
        <v>4</v>
      </c>
      <c r="J163">
        <v>2</v>
      </c>
      <c r="K163" s="20">
        <v>-2100</v>
      </c>
      <c r="L163" t="s">
        <v>269</v>
      </c>
      <c r="M163" t="s">
        <v>137</v>
      </c>
      <c r="N163" t="s">
        <v>135</v>
      </c>
    </row>
    <row r="164" spans="1:14" x14ac:dyDescent="0.3">
      <c r="A164" s="8">
        <v>45748</v>
      </c>
      <c r="B164" t="s">
        <v>198</v>
      </c>
      <c r="C164" t="s">
        <v>200</v>
      </c>
      <c r="D164" s="20">
        <v>1695.19</v>
      </c>
      <c r="E164" t="s">
        <v>272</v>
      </c>
      <c r="F164" t="s">
        <v>333</v>
      </c>
      <c r="G164" t="s">
        <v>136</v>
      </c>
      <c r="H164" t="s">
        <v>336</v>
      </c>
      <c r="I164">
        <v>4</v>
      </c>
      <c r="J164">
        <v>2</v>
      </c>
      <c r="K164" s="20">
        <v>-1695.19</v>
      </c>
      <c r="L164" t="s">
        <v>269</v>
      </c>
      <c r="M164" t="s">
        <v>137</v>
      </c>
      <c r="N164" t="s">
        <v>135</v>
      </c>
    </row>
    <row r="165" spans="1:14" x14ac:dyDescent="0.3">
      <c r="A165" s="8">
        <v>45748</v>
      </c>
      <c r="B165" t="s">
        <v>198</v>
      </c>
      <c r="C165" t="s">
        <v>199</v>
      </c>
      <c r="D165" s="20">
        <v>400</v>
      </c>
      <c r="E165" t="s">
        <v>272</v>
      </c>
      <c r="F165" t="s">
        <v>333</v>
      </c>
      <c r="G165" t="s">
        <v>136</v>
      </c>
      <c r="H165" t="s">
        <v>336</v>
      </c>
      <c r="I165">
        <v>4</v>
      </c>
      <c r="J165">
        <v>2</v>
      </c>
      <c r="K165" s="20">
        <v>-400</v>
      </c>
      <c r="L165" t="s">
        <v>269</v>
      </c>
      <c r="M165" t="s">
        <v>137</v>
      </c>
      <c r="N165" t="s">
        <v>135</v>
      </c>
    </row>
    <row r="166" spans="1:14" x14ac:dyDescent="0.3">
      <c r="A166" s="8">
        <v>45748</v>
      </c>
      <c r="B166" t="s">
        <v>198</v>
      </c>
      <c r="C166" t="s">
        <v>152</v>
      </c>
      <c r="D166" s="20">
        <v>5000</v>
      </c>
      <c r="E166" t="s">
        <v>271</v>
      </c>
      <c r="F166" t="s">
        <v>333</v>
      </c>
      <c r="G166" t="s">
        <v>25</v>
      </c>
      <c r="H166" t="s">
        <v>336</v>
      </c>
      <c r="I166">
        <v>4</v>
      </c>
      <c r="J166">
        <v>2</v>
      </c>
      <c r="K166" s="20">
        <v>-5000</v>
      </c>
      <c r="L166" t="s">
        <v>269</v>
      </c>
      <c r="M166" t="s">
        <v>77</v>
      </c>
      <c r="N166" t="s">
        <v>26</v>
      </c>
    </row>
    <row r="167" spans="1:14" x14ac:dyDescent="0.3">
      <c r="A167" s="8">
        <v>45748</v>
      </c>
      <c r="B167" t="s">
        <v>198</v>
      </c>
      <c r="C167" t="s">
        <v>162</v>
      </c>
      <c r="D167" s="20">
        <v>1000</v>
      </c>
      <c r="E167" t="s">
        <v>277</v>
      </c>
      <c r="F167" t="s">
        <v>333</v>
      </c>
      <c r="G167" t="s">
        <v>25</v>
      </c>
      <c r="H167" t="s">
        <v>336</v>
      </c>
      <c r="I167">
        <v>4</v>
      </c>
      <c r="J167">
        <v>2</v>
      </c>
      <c r="K167" s="20">
        <v>-1000</v>
      </c>
      <c r="L167" t="s">
        <v>269</v>
      </c>
      <c r="M167" t="s">
        <v>33</v>
      </c>
      <c r="N167" t="s">
        <v>26</v>
      </c>
    </row>
    <row r="168" spans="1:14" x14ac:dyDescent="0.3">
      <c r="A168" s="8">
        <v>45748</v>
      </c>
      <c r="B168" t="s">
        <v>198</v>
      </c>
      <c r="C168" t="s">
        <v>346</v>
      </c>
      <c r="D168" s="20">
        <v>330</v>
      </c>
      <c r="E168" t="s">
        <v>283</v>
      </c>
      <c r="F168" t="s">
        <v>333</v>
      </c>
      <c r="G168" t="s">
        <v>95</v>
      </c>
      <c r="H168" t="s">
        <v>336</v>
      </c>
      <c r="I168">
        <v>4</v>
      </c>
      <c r="J168">
        <v>2</v>
      </c>
      <c r="K168" s="20">
        <v>-330</v>
      </c>
      <c r="L168" t="s">
        <v>269</v>
      </c>
      <c r="M168" t="s">
        <v>96</v>
      </c>
      <c r="N168" t="s">
        <v>94</v>
      </c>
    </row>
    <row r="169" spans="1:14" x14ac:dyDescent="0.3">
      <c r="A169" s="8">
        <v>45752</v>
      </c>
      <c r="B169" t="s">
        <v>198</v>
      </c>
      <c r="C169" t="s">
        <v>169</v>
      </c>
      <c r="D169" s="20">
        <v>431</v>
      </c>
      <c r="E169" t="s">
        <v>395</v>
      </c>
      <c r="F169" t="s">
        <v>334</v>
      </c>
      <c r="G169" t="s">
        <v>25</v>
      </c>
      <c r="H169" t="s">
        <v>337</v>
      </c>
      <c r="I169">
        <v>4</v>
      </c>
      <c r="J169">
        <v>2</v>
      </c>
      <c r="K169" s="20">
        <v>431</v>
      </c>
      <c r="L169" t="s">
        <v>268</v>
      </c>
      <c r="M169" t="s">
        <v>38</v>
      </c>
      <c r="N169" t="s">
        <v>26</v>
      </c>
    </row>
    <row r="170" spans="1:14" x14ac:dyDescent="0.3">
      <c r="A170" s="8">
        <v>45753</v>
      </c>
      <c r="B170" t="s">
        <v>198</v>
      </c>
      <c r="C170" t="s">
        <v>176</v>
      </c>
      <c r="D170" s="20">
        <v>4000</v>
      </c>
      <c r="E170" t="s">
        <v>329</v>
      </c>
      <c r="F170" t="s">
        <v>333</v>
      </c>
      <c r="G170" t="s">
        <v>25</v>
      </c>
      <c r="H170" t="s">
        <v>336</v>
      </c>
      <c r="I170">
        <v>4</v>
      </c>
      <c r="J170">
        <v>2</v>
      </c>
      <c r="K170" s="20">
        <v>-4000</v>
      </c>
      <c r="L170" t="s">
        <v>269</v>
      </c>
      <c r="M170" t="s">
        <v>323</v>
      </c>
      <c r="N170" t="s">
        <v>26</v>
      </c>
    </row>
    <row r="171" spans="1:14" x14ac:dyDescent="0.3">
      <c r="A171" s="8">
        <v>45757</v>
      </c>
      <c r="B171" t="s">
        <v>198</v>
      </c>
      <c r="C171" t="s">
        <v>202</v>
      </c>
      <c r="D171" s="20">
        <v>500</v>
      </c>
      <c r="E171" t="s">
        <v>403</v>
      </c>
      <c r="F171" t="s">
        <v>334</v>
      </c>
      <c r="G171" t="s">
        <v>25</v>
      </c>
      <c r="H171" t="s">
        <v>337</v>
      </c>
      <c r="I171">
        <v>4</v>
      </c>
      <c r="J171">
        <v>2</v>
      </c>
      <c r="K171" s="20">
        <v>500</v>
      </c>
      <c r="L171" t="s">
        <v>268</v>
      </c>
      <c r="M171" t="s">
        <v>80</v>
      </c>
      <c r="N171" t="s">
        <v>26</v>
      </c>
    </row>
    <row r="172" spans="1:14" x14ac:dyDescent="0.3">
      <c r="A172" s="8">
        <v>45759</v>
      </c>
      <c r="B172" t="s">
        <v>198</v>
      </c>
      <c r="C172" t="s">
        <v>191</v>
      </c>
      <c r="D172" s="20">
        <v>1500</v>
      </c>
      <c r="E172" t="s">
        <v>397</v>
      </c>
      <c r="F172" t="s">
        <v>334</v>
      </c>
      <c r="G172" t="s">
        <v>25</v>
      </c>
      <c r="H172" t="s">
        <v>337</v>
      </c>
      <c r="I172">
        <v>4</v>
      </c>
      <c r="J172">
        <v>2</v>
      </c>
      <c r="K172" s="20">
        <v>1500</v>
      </c>
      <c r="L172" t="s">
        <v>268</v>
      </c>
      <c r="M172" t="s">
        <v>69</v>
      </c>
      <c r="N172" t="s">
        <v>26</v>
      </c>
    </row>
    <row r="173" spans="1:14" x14ac:dyDescent="0.3">
      <c r="A173" s="8">
        <v>45761</v>
      </c>
      <c r="B173" t="s">
        <v>198</v>
      </c>
      <c r="C173" t="s">
        <v>195</v>
      </c>
      <c r="D173" s="20">
        <v>151</v>
      </c>
      <c r="E173" t="s">
        <v>328</v>
      </c>
      <c r="F173" t="s">
        <v>333</v>
      </c>
      <c r="G173" t="s">
        <v>319</v>
      </c>
      <c r="H173" t="s">
        <v>336</v>
      </c>
      <c r="I173">
        <v>4</v>
      </c>
      <c r="J173">
        <v>2</v>
      </c>
      <c r="K173" s="20">
        <v>-151</v>
      </c>
      <c r="L173" t="s">
        <v>269</v>
      </c>
      <c r="M173" t="s">
        <v>315</v>
      </c>
      <c r="N173" t="s">
        <v>90</v>
      </c>
    </row>
    <row r="174" spans="1:14" x14ac:dyDescent="0.3">
      <c r="A174" s="8">
        <v>45762</v>
      </c>
      <c r="B174" t="s">
        <v>198</v>
      </c>
      <c r="C174" t="s">
        <v>356</v>
      </c>
      <c r="D174" s="20">
        <v>15000</v>
      </c>
      <c r="E174" t="s">
        <v>301</v>
      </c>
      <c r="F174" t="s">
        <v>333</v>
      </c>
      <c r="G174" t="s">
        <v>133</v>
      </c>
      <c r="H174" t="s">
        <v>336</v>
      </c>
      <c r="I174">
        <v>4</v>
      </c>
      <c r="J174">
        <v>2</v>
      </c>
      <c r="K174" s="20">
        <v>-15000</v>
      </c>
      <c r="L174" t="s">
        <v>269</v>
      </c>
      <c r="M174" t="s">
        <v>134</v>
      </c>
      <c r="N174" t="s">
        <v>132</v>
      </c>
    </row>
    <row r="175" spans="1:14" x14ac:dyDescent="0.3">
      <c r="A175" s="8">
        <v>45762</v>
      </c>
      <c r="B175" t="s">
        <v>198</v>
      </c>
      <c r="C175" t="s">
        <v>353</v>
      </c>
      <c r="D175" s="20">
        <v>20000</v>
      </c>
      <c r="E175" t="s">
        <v>300</v>
      </c>
      <c r="F175" t="s">
        <v>333</v>
      </c>
      <c r="G175" t="s">
        <v>130</v>
      </c>
      <c r="H175" t="s">
        <v>336</v>
      </c>
      <c r="I175">
        <v>4</v>
      </c>
      <c r="J175">
        <v>2</v>
      </c>
      <c r="K175" s="20">
        <v>-20000</v>
      </c>
      <c r="L175" t="s">
        <v>269</v>
      </c>
      <c r="M175" t="s">
        <v>131</v>
      </c>
      <c r="N175" t="s">
        <v>103</v>
      </c>
    </row>
    <row r="176" spans="1:14" x14ac:dyDescent="0.3">
      <c r="A176" s="8">
        <v>45762</v>
      </c>
      <c r="B176" t="s">
        <v>198</v>
      </c>
      <c r="C176" t="s">
        <v>357</v>
      </c>
      <c r="D176" s="20">
        <v>10619.71</v>
      </c>
      <c r="E176" t="s">
        <v>302</v>
      </c>
      <c r="F176" t="s">
        <v>333</v>
      </c>
      <c r="G176" t="s">
        <v>117</v>
      </c>
      <c r="H176" t="s">
        <v>336</v>
      </c>
      <c r="I176">
        <v>4</v>
      </c>
      <c r="J176">
        <v>2</v>
      </c>
      <c r="K176" s="20">
        <v>-10619.71</v>
      </c>
      <c r="L176" t="s">
        <v>269</v>
      </c>
      <c r="M176" t="s">
        <v>118</v>
      </c>
      <c r="N176" t="s">
        <v>103</v>
      </c>
    </row>
    <row r="177" spans="1:14" x14ac:dyDescent="0.3">
      <c r="A177" s="8">
        <v>45762</v>
      </c>
      <c r="B177" t="s">
        <v>198</v>
      </c>
      <c r="C177" t="s">
        <v>155</v>
      </c>
      <c r="D177" s="20">
        <v>2000</v>
      </c>
      <c r="E177" t="s">
        <v>376</v>
      </c>
      <c r="F177" t="s">
        <v>334</v>
      </c>
      <c r="G177" t="s">
        <v>25</v>
      </c>
      <c r="H177" t="s">
        <v>337</v>
      </c>
      <c r="I177">
        <v>4</v>
      </c>
      <c r="J177">
        <v>2</v>
      </c>
      <c r="K177" s="20">
        <v>2000</v>
      </c>
      <c r="L177" t="s">
        <v>268</v>
      </c>
      <c r="M177" t="s">
        <v>29</v>
      </c>
      <c r="N177" t="s">
        <v>26</v>
      </c>
    </row>
    <row r="178" spans="1:14" x14ac:dyDescent="0.3">
      <c r="A178" s="8">
        <v>45762</v>
      </c>
      <c r="B178" t="s">
        <v>198</v>
      </c>
      <c r="C178" t="s">
        <v>203</v>
      </c>
      <c r="D178" s="20">
        <v>1000</v>
      </c>
      <c r="E178" t="s">
        <v>407</v>
      </c>
      <c r="F178" t="s">
        <v>334</v>
      </c>
      <c r="G178" t="s">
        <v>25</v>
      </c>
      <c r="H178" t="s">
        <v>337</v>
      </c>
      <c r="I178">
        <v>4</v>
      </c>
      <c r="J178">
        <v>2</v>
      </c>
      <c r="K178" s="20">
        <v>1000</v>
      </c>
      <c r="L178" t="s">
        <v>268</v>
      </c>
      <c r="M178" t="s">
        <v>74</v>
      </c>
      <c r="N178" t="s">
        <v>26</v>
      </c>
    </row>
    <row r="179" spans="1:14" x14ac:dyDescent="0.3">
      <c r="A179" s="8">
        <v>45762</v>
      </c>
      <c r="B179" t="s">
        <v>198</v>
      </c>
      <c r="C179" t="s">
        <v>185</v>
      </c>
      <c r="D179" s="20">
        <v>2000</v>
      </c>
      <c r="E179" t="s">
        <v>281</v>
      </c>
      <c r="F179" t="s">
        <v>333</v>
      </c>
      <c r="G179" t="s">
        <v>105</v>
      </c>
      <c r="H179" t="s">
        <v>336</v>
      </c>
      <c r="I179">
        <v>4</v>
      </c>
      <c r="J179">
        <v>2</v>
      </c>
      <c r="K179" s="20">
        <v>-2000</v>
      </c>
      <c r="L179" t="s">
        <v>269</v>
      </c>
      <c r="M179" t="s">
        <v>142</v>
      </c>
      <c r="N179" t="s">
        <v>335</v>
      </c>
    </row>
    <row r="180" spans="1:14" x14ac:dyDescent="0.3">
      <c r="A180" s="8">
        <v>45762</v>
      </c>
      <c r="B180" t="s">
        <v>198</v>
      </c>
      <c r="C180" t="s">
        <v>155</v>
      </c>
      <c r="D180" s="20">
        <v>10000</v>
      </c>
      <c r="E180" t="s">
        <v>274</v>
      </c>
      <c r="F180" t="s">
        <v>333</v>
      </c>
      <c r="G180" t="s">
        <v>25</v>
      </c>
      <c r="H180" t="s">
        <v>336</v>
      </c>
      <c r="I180">
        <v>4</v>
      </c>
      <c r="J180">
        <v>2</v>
      </c>
      <c r="K180" s="20">
        <v>-10000</v>
      </c>
      <c r="L180" t="s">
        <v>269</v>
      </c>
      <c r="M180" t="s">
        <v>29</v>
      </c>
      <c r="N180" t="s">
        <v>26</v>
      </c>
    </row>
    <row r="181" spans="1:14" x14ac:dyDescent="0.3">
      <c r="A181" s="8">
        <v>45762</v>
      </c>
      <c r="B181" t="s">
        <v>198</v>
      </c>
      <c r="C181" t="s">
        <v>156</v>
      </c>
      <c r="D181" s="20">
        <v>2000</v>
      </c>
      <c r="E181" t="s">
        <v>374</v>
      </c>
      <c r="F181" t="s">
        <v>334</v>
      </c>
      <c r="G181" t="s">
        <v>25</v>
      </c>
      <c r="H181" t="s">
        <v>337</v>
      </c>
      <c r="I181">
        <v>4</v>
      </c>
      <c r="J181">
        <v>2</v>
      </c>
      <c r="K181" s="20">
        <v>2000</v>
      </c>
      <c r="L181" t="s">
        <v>268</v>
      </c>
      <c r="M181" t="s">
        <v>75</v>
      </c>
      <c r="N181" t="s">
        <v>26</v>
      </c>
    </row>
    <row r="182" spans="1:14" x14ac:dyDescent="0.3">
      <c r="A182" s="8">
        <v>45762</v>
      </c>
      <c r="B182" t="s">
        <v>198</v>
      </c>
      <c r="C182" t="s">
        <v>162</v>
      </c>
      <c r="D182" s="20">
        <v>1000</v>
      </c>
      <c r="E182" t="s">
        <v>388</v>
      </c>
      <c r="F182" t="s">
        <v>334</v>
      </c>
      <c r="G182" t="s">
        <v>25</v>
      </c>
      <c r="H182" t="s">
        <v>337</v>
      </c>
      <c r="I182">
        <v>4</v>
      </c>
      <c r="J182">
        <v>2</v>
      </c>
      <c r="K182" s="20">
        <v>1000</v>
      </c>
      <c r="L182" t="s">
        <v>268</v>
      </c>
      <c r="M182" t="s">
        <v>33</v>
      </c>
      <c r="N182" t="s">
        <v>26</v>
      </c>
    </row>
    <row r="183" spans="1:14" x14ac:dyDescent="0.3">
      <c r="A183" s="8">
        <v>45762</v>
      </c>
      <c r="B183" t="s">
        <v>198</v>
      </c>
      <c r="C183" t="s">
        <v>204</v>
      </c>
      <c r="D183" s="20">
        <v>2000</v>
      </c>
      <c r="E183" t="s">
        <v>404</v>
      </c>
      <c r="F183" t="s">
        <v>334</v>
      </c>
      <c r="G183" t="s">
        <v>25</v>
      </c>
      <c r="H183" t="s">
        <v>337</v>
      </c>
      <c r="I183">
        <v>4</v>
      </c>
      <c r="J183">
        <v>2</v>
      </c>
      <c r="K183" s="20">
        <v>2000</v>
      </c>
      <c r="L183" t="s">
        <v>268</v>
      </c>
      <c r="M183" t="s">
        <v>64</v>
      </c>
      <c r="N183" t="s">
        <v>26</v>
      </c>
    </row>
    <row r="184" spans="1:14" x14ac:dyDescent="0.3">
      <c r="A184" s="8">
        <v>45762</v>
      </c>
      <c r="B184" t="s">
        <v>198</v>
      </c>
      <c r="C184" t="s">
        <v>176</v>
      </c>
      <c r="D184" s="20">
        <v>6400</v>
      </c>
      <c r="E184" t="s">
        <v>375</v>
      </c>
      <c r="F184" t="s">
        <v>334</v>
      </c>
      <c r="G184" t="s">
        <v>25</v>
      </c>
      <c r="H184" t="s">
        <v>337</v>
      </c>
      <c r="I184">
        <v>4</v>
      </c>
      <c r="J184">
        <v>2</v>
      </c>
      <c r="K184" s="20">
        <v>6400</v>
      </c>
      <c r="L184" t="s">
        <v>268</v>
      </c>
      <c r="M184" t="s">
        <v>323</v>
      </c>
      <c r="N184" t="s">
        <v>26</v>
      </c>
    </row>
    <row r="185" spans="1:14" x14ac:dyDescent="0.3">
      <c r="A185" s="8">
        <v>45762</v>
      </c>
      <c r="B185" t="s">
        <v>198</v>
      </c>
      <c r="C185" t="s">
        <v>187</v>
      </c>
      <c r="D185" s="20">
        <v>4320</v>
      </c>
      <c r="E185" t="s">
        <v>401</v>
      </c>
      <c r="F185" t="s">
        <v>334</v>
      </c>
      <c r="G185" t="s">
        <v>25</v>
      </c>
      <c r="H185" t="s">
        <v>337</v>
      </c>
      <c r="I185">
        <v>4</v>
      </c>
      <c r="J185">
        <v>2</v>
      </c>
      <c r="K185" s="20">
        <v>4320</v>
      </c>
      <c r="L185" t="s">
        <v>268</v>
      </c>
      <c r="M185" t="s">
        <v>82</v>
      </c>
      <c r="N185" t="s">
        <v>26</v>
      </c>
    </row>
    <row r="186" spans="1:14" x14ac:dyDescent="0.3">
      <c r="A186" s="8">
        <v>45762</v>
      </c>
      <c r="B186" t="s">
        <v>198</v>
      </c>
      <c r="C186" t="s">
        <v>345</v>
      </c>
      <c r="D186" s="20">
        <v>2000</v>
      </c>
      <c r="E186" t="s">
        <v>385</v>
      </c>
      <c r="F186" t="s">
        <v>334</v>
      </c>
      <c r="G186" t="s">
        <v>25</v>
      </c>
      <c r="H186" t="s">
        <v>337</v>
      </c>
      <c r="I186">
        <v>4</v>
      </c>
      <c r="J186">
        <v>2</v>
      </c>
      <c r="K186" s="20">
        <v>2000</v>
      </c>
      <c r="L186" t="s">
        <v>268</v>
      </c>
      <c r="M186" t="s">
        <v>54</v>
      </c>
      <c r="N186" t="s">
        <v>26</v>
      </c>
    </row>
    <row r="187" spans="1:14" x14ac:dyDescent="0.3">
      <c r="A187" s="8">
        <v>45762</v>
      </c>
      <c r="B187" t="s">
        <v>198</v>
      </c>
      <c r="C187" t="s">
        <v>172</v>
      </c>
      <c r="D187" s="20">
        <v>3600</v>
      </c>
      <c r="E187" t="s">
        <v>370</v>
      </c>
      <c r="F187" t="s">
        <v>334</v>
      </c>
      <c r="G187" t="s">
        <v>25</v>
      </c>
      <c r="H187" t="s">
        <v>337</v>
      </c>
      <c r="I187">
        <v>4</v>
      </c>
      <c r="J187">
        <v>2</v>
      </c>
      <c r="K187" s="20">
        <v>3600</v>
      </c>
      <c r="L187" t="s">
        <v>268</v>
      </c>
      <c r="M187" t="s">
        <v>58</v>
      </c>
      <c r="N187" t="s">
        <v>26</v>
      </c>
    </row>
    <row r="188" spans="1:14" x14ac:dyDescent="0.3">
      <c r="A188" s="8">
        <v>45763</v>
      </c>
      <c r="B188" t="s">
        <v>198</v>
      </c>
      <c r="C188" t="s">
        <v>148</v>
      </c>
      <c r="D188" s="20">
        <v>33015</v>
      </c>
      <c r="E188" t="s">
        <v>324</v>
      </c>
      <c r="F188" t="s">
        <v>333</v>
      </c>
      <c r="G188" t="s">
        <v>139</v>
      </c>
      <c r="H188" t="s">
        <v>336</v>
      </c>
      <c r="I188">
        <v>4</v>
      </c>
      <c r="J188">
        <v>2</v>
      </c>
      <c r="K188" s="20">
        <v>-33015</v>
      </c>
      <c r="L188" t="s">
        <v>269</v>
      </c>
      <c r="M188" t="s">
        <v>322</v>
      </c>
      <c r="N188" t="s">
        <v>138</v>
      </c>
    </row>
    <row r="189" spans="1:14" x14ac:dyDescent="0.3">
      <c r="A189" s="8">
        <v>45763</v>
      </c>
      <c r="B189" t="s">
        <v>198</v>
      </c>
      <c r="C189" t="s">
        <v>342</v>
      </c>
      <c r="D189" s="20">
        <v>6505</v>
      </c>
      <c r="E189" t="s">
        <v>273</v>
      </c>
      <c r="F189" t="s">
        <v>333</v>
      </c>
      <c r="G189" t="s">
        <v>98</v>
      </c>
      <c r="H189" t="s">
        <v>336</v>
      </c>
      <c r="I189">
        <v>4</v>
      </c>
      <c r="J189">
        <v>2</v>
      </c>
      <c r="K189" s="20">
        <v>-6505</v>
      </c>
      <c r="L189" t="s">
        <v>269</v>
      </c>
      <c r="M189" t="s">
        <v>116</v>
      </c>
      <c r="N189" t="s">
        <v>94</v>
      </c>
    </row>
    <row r="190" spans="1:14" x14ac:dyDescent="0.3">
      <c r="A190" s="8">
        <v>45766</v>
      </c>
      <c r="B190" t="s">
        <v>198</v>
      </c>
      <c r="C190" t="s">
        <v>202</v>
      </c>
      <c r="D190" s="20">
        <v>500</v>
      </c>
      <c r="E190" t="s">
        <v>403</v>
      </c>
      <c r="F190" t="s">
        <v>334</v>
      </c>
      <c r="G190" t="s">
        <v>25</v>
      </c>
      <c r="H190" t="s">
        <v>337</v>
      </c>
      <c r="I190">
        <v>4</v>
      </c>
      <c r="J190">
        <v>2</v>
      </c>
      <c r="K190" s="20">
        <v>500</v>
      </c>
      <c r="L190" t="s">
        <v>268</v>
      </c>
      <c r="M190" t="s">
        <v>80</v>
      </c>
      <c r="N190" t="s">
        <v>26</v>
      </c>
    </row>
    <row r="191" spans="1:14" x14ac:dyDescent="0.3">
      <c r="A191" s="8">
        <v>45768</v>
      </c>
      <c r="B191" t="s">
        <v>198</v>
      </c>
      <c r="C191" t="s">
        <v>194</v>
      </c>
      <c r="D191" s="20">
        <v>1600</v>
      </c>
      <c r="E191" t="s">
        <v>396</v>
      </c>
      <c r="F191" t="s">
        <v>334</v>
      </c>
      <c r="G191" t="s">
        <v>25</v>
      </c>
      <c r="H191" t="s">
        <v>337</v>
      </c>
      <c r="I191">
        <v>4</v>
      </c>
      <c r="J191">
        <v>2</v>
      </c>
      <c r="K191" s="20">
        <v>1600</v>
      </c>
      <c r="L191" t="s">
        <v>268</v>
      </c>
      <c r="M191" t="s">
        <v>87</v>
      </c>
      <c r="N191" t="s">
        <v>26</v>
      </c>
    </row>
    <row r="192" spans="1:14" x14ac:dyDescent="0.3">
      <c r="A192" s="8">
        <v>45768</v>
      </c>
      <c r="B192" t="s">
        <v>198</v>
      </c>
      <c r="C192" t="s">
        <v>344</v>
      </c>
      <c r="D192" s="20">
        <v>29.18</v>
      </c>
      <c r="E192" t="s">
        <v>380</v>
      </c>
      <c r="F192" t="s">
        <v>334</v>
      </c>
      <c r="G192" t="s">
        <v>10</v>
      </c>
      <c r="H192" t="s">
        <v>337</v>
      </c>
      <c r="I192">
        <v>4</v>
      </c>
      <c r="J192">
        <v>2</v>
      </c>
      <c r="K192" s="20">
        <v>29.18</v>
      </c>
      <c r="L192" t="s">
        <v>268</v>
      </c>
      <c r="M192" t="s">
        <v>4</v>
      </c>
      <c r="N192" t="s">
        <v>120</v>
      </c>
    </row>
    <row r="193" spans="1:14" x14ac:dyDescent="0.3">
      <c r="A193" s="8">
        <v>45768</v>
      </c>
      <c r="B193" t="s">
        <v>198</v>
      </c>
      <c r="C193" t="s">
        <v>343</v>
      </c>
      <c r="D193" s="20">
        <v>2730.83</v>
      </c>
      <c r="E193" t="s">
        <v>312</v>
      </c>
      <c r="F193" t="s">
        <v>333</v>
      </c>
      <c r="G193" t="s">
        <v>122</v>
      </c>
      <c r="H193" t="s">
        <v>336</v>
      </c>
      <c r="I193">
        <v>4</v>
      </c>
      <c r="J193">
        <v>2</v>
      </c>
      <c r="K193" s="20">
        <v>-2730.83</v>
      </c>
      <c r="L193" t="s">
        <v>269</v>
      </c>
      <c r="M193" t="s">
        <v>311</v>
      </c>
      <c r="N193" t="s">
        <v>121</v>
      </c>
    </row>
    <row r="194" spans="1:14" x14ac:dyDescent="0.3">
      <c r="A194" s="8">
        <v>45769</v>
      </c>
      <c r="B194" t="s">
        <v>198</v>
      </c>
      <c r="C194" t="s">
        <v>169</v>
      </c>
      <c r="D194" s="20">
        <v>431</v>
      </c>
      <c r="E194" t="s">
        <v>395</v>
      </c>
      <c r="F194" t="s">
        <v>334</v>
      </c>
      <c r="G194" t="s">
        <v>25</v>
      </c>
      <c r="H194" t="s">
        <v>337</v>
      </c>
      <c r="I194">
        <v>4</v>
      </c>
      <c r="J194">
        <v>2</v>
      </c>
      <c r="K194" s="20">
        <v>431</v>
      </c>
      <c r="L194" t="s">
        <v>268</v>
      </c>
      <c r="M194" t="s">
        <v>38</v>
      </c>
      <c r="N194" t="s">
        <v>26</v>
      </c>
    </row>
    <row r="195" spans="1:14" x14ac:dyDescent="0.3">
      <c r="A195" s="8">
        <v>45772</v>
      </c>
      <c r="B195" t="s">
        <v>198</v>
      </c>
      <c r="C195" t="s">
        <v>171</v>
      </c>
      <c r="D195" s="20">
        <v>1250</v>
      </c>
      <c r="E195" t="s">
        <v>368</v>
      </c>
      <c r="F195" t="s">
        <v>334</v>
      </c>
      <c r="G195" t="s">
        <v>25</v>
      </c>
      <c r="H195" t="s">
        <v>337</v>
      </c>
      <c r="I195">
        <v>4</v>
      </c>
      <c r="J195">
        <v>2</v>
      </c>
      <c r="K195" s="20">
        <v>1250</v>
      </c>
      <c r="L195" t="s">
        <v>268</v>
      </c>
      <c r="M195" t="s">
        <v>61</v>
      </c>
      <c r="N195" t="s">
        <v>26</v>
      </c>
    </row>
    <row r="196" spans="1:14" x14ac:dyDescent="0.3">
      <c r="A196" s="8">
        <v>45772</v>
      </c>
      <c r="B196" t="s">
        <v>198</v>
      </c>
      <c r="C196" t="s">
        <v>152</v>
      </c>
      <c r="D196" s="20">
        <v>5000</v>
      </c>
      <c r="E196" t="s">
        <v>271</v>
      </c>
      <c r="F196" t="s">
        <v>333</v>
      </c>
      <c r="G196" t="s">
        <v>25</v>
      </c>
      <c r="H196" t="s">
        <v>336</v>
      </c>
      <c r="I196">
        <v>4</v>
      </c>
      <c r="J196">
        <v>2</v>
      </c>
      <c r="K196" s="20">
        <v>-5000</v>
      </c>
      <c r="L196" t="s">
        <v>269</v>
      </c>
      <c r="M196" t="s">
        <v>77</v>
      </c>
      <c r="N196" t="s">
        <v>26</v>
      </c>
    </row>
    <row r="197" spans="1:14" x14ac:dyDescent="0.3">
      <c r="A197" s="8">
        <v>45772</v>
      </c>
      <c r="B197" t="s">
        <v>198</v>
      </c>
      <c r="C197" t="s">
        <v>201</v>
      </c>
      <c r="D197" s="20">
        <v>500</v>
      </c>
      <c r="E197" t="s">
        <v>272</v>
      </c>
      <c r="F197" t="s">
        <v>333</v>
      </c>
      <c r="G197" t="s">
        <v>136</v>
      </c>
      <c r="H197" t="s">
        <v>336</v>
      </c>
      <c r="I197">
        <v>4</v>
      </c>
      <c r="J197">
        <v>2</v>
      </c>
      <c r="K197" s="20">
        <v>-500</v>
      </c>
      <c r="L197" t="s">
        <v>269</v>
      </c>
      <c r="M197" t="s">
        <v>137</v>
      </c>
      <c r="N197" t="s">
        <v>135</v>
      </c>
    </row>
    <row r="198" spans="1:14" x14ac:dyDescent="0.3">
      <c r="A198" s="8">
        <v>45774</v>
      </c>
      <c r="B198" t="s">
        <v>198</v>
      </c>
      <c r="C198" t="s">
        <v>205</v>
      </c>
      <c r="D198" s="20">
        <v>2500</v>
      </c>
      <c r="E198" t="s">
        <v>408</v>
      </c>
      <c r="F198" t="s">
        <v>334</v>
      </c>
      <c r="G198" t="s">
        <v>25</v>
      </c>
      <c r="H198" t="s">
        <v>337</v>
      </c>
      <c r="I198">
        <v>4</v>
      </c>
      <c r="J198">
        <v>2</v>
      </c>
      <c r="K198" s="20">
        <v>2500</v>
      </c>
      <c r="L198" t="s">
        <v>268</v>
      </c>
      <c r="M198" t="s">
        <v>72</v>
      </c>
      <c r="N198" t="s">
        <v>26</v>
      </c>
    </row>
    <row r="199" spans="1:14" x14ac:dyDescent="0.3">
      <c r="A199" s="8">
        <v>45775</v>
      </c>
      <c r="B199" t="s">
        <v>198</v>
      </c>
      <c r="C199" t="s">
        <v>166</v>
      </c>
      <c r="D199" s="20">
        <v>1350</v>
      </c>
      <c r="E199" t="s">
        <v>364</v>
      </c>
      <c r="F199" t="s">
        <v>334</v>
      </c>
      <c r="G199" t="s">
        <v>25</v>
      </c>
      <c r="H199" t="s">
        <v>337</v>
      </c>
      <c r="I199">
        <v>4</v>
      </c>
      <c r="J199">
        <v>2</v>
      </c>
      <c r="K199" s="20">
        <v>1350</v>
      </c>
      <c r="L199" t="s">
        <v>268</v>
      </c>
      <c r="M199" t="s">
        <v>84</v>
      </c>
      <c r="N199" t="s">
        <v>26</v>
      </c>
    </row>
    <row r="200" spans="1:14" x14ac:dyDescent="0.3">
      <c r="A200" s="8">
        <v>45775</v>
      </c>
      <c r="B200" t="s">
        <v>198</v>
      </c>
      <c r="C200" t="s">
        <v>191</v>
      </c>
      <c r="D200" s="20">
        <v>1500</v>
      </c>
      <c r="E200" t="s">
        <v>397</v>
      </c>
      <c r="F200" t="s">
        <v>334</v>
      </c>
      <c r="G200" t="s">
        <v>25</v>
      </c>
      <c r="H200" t="s">
        <v>337</v>
      </c>
      <c r="I200">
        <v>4</v>
      </c>
      <c r="J200">
        <v>2</v>
      </c>
      <c r="K200" s="20">
        <v>1500</v>
      </c>
      <c r="L200" t="s">
        <v>268</v>
      </c>
      <c r="M200" t="s">
        <v>69</v>
      </c>
      <c r="N200" t="s">
        <v>26</v>
      </c>
    </row>
    <row r="201" spans="1:14" x14ac:dyDescent="0.3">
      <c r="A201" s="8">
        <v>45777</v>
      </c>
      <c r="B201" t="s">
        <v>198</v>
      </c>
      <c r="C201" t="s">
        <v>355</v>
      </c>
      <c r="D201" s="20">
        <v>5000</v>
      </c>
      <c r="E201" t="s">
        <v>389</v>
      </c>
      <c r="F201" t="s">
        <v>334</v>
      </c>
      <c r="G201" t="s">
        <v>9</v>
      </c>
      <c r="H201" t="s">
        <v>337</v>
      </c>
      <c r="I201">
        <v>4</v>
      </c>
      <c r="J201">
        <v>2</v>
      </c>
      <c r="K201" s="20">
        <v>5000</v>
      </c>
      <c r="L201" t="s">
        <v>268</v>
      </c>
      <c r="M201" t="s">
        <v>128</v>
      </c>
      <c r="N201" t="s">
        <v>126</v>
      </c>
    </row>
    <row r="202" spans="1:14" x14ac:dyDescent="0.3">
      <c r="A202" s="8">
        <v>45777</v>
      </c>
      <c r="B202" t="s">
        <v>198</v>
      </c>
      <c r="C202" t="s">
        <v>354</v>
      </c>
      <c r="D202" s="20">
        <v>10000</v>
      </c>
      <c r="E202" t="s">
        <v>390</v>
      </c>
      <c r="F202" t="s">
        <v>334</v>
      </c>
      <c r="G202" t="s">
        <v>9</v>
      </c>
      <c r="H202" t="s">
        <v>337</v>
      </c>
      <c r="I202">
        <v>4</v>
      </c>
      <c r="J202">
        <v>2</v>
      </c>
      <c r="K202" s="20">
        <v>10000</v>
      </c>
      <c r="L202" t="s">
        <v>268</v>
      </c>
      <c r="M202" t="s">
        <v>127</v>
      </c>
      <c r="N202" t="s">
        <v>126</v>
      </c>
    </row>
    <row r="203" spans="1:14" x14ac:dyDescent="0.3">
      <c r="A203" s="8">
        <v>45777</v>
      </c>
      <c r="B203" t="s">
        <v>198</v>
      </c>
      <c r="C203" t="s">
        <v>360</v>
      </c>
      <c r="D203" s="20">
        <v>1000</v>
      </c>
      <c r="E203" t="s">
        <v>305</v>
      </c>
      <c r="F203" t="s">
        <v>333</v>
      </c>
      <c r="G203" t="s">
        <v>11</v>
      </c>
      <c r="H203" t="s">
        <v>336</v>
      </c>
      <c r="I203">
        <v>4</v>
      </c>
      <c r="J203">
        <v>2</v>
      </c>
      <c r="K203" s="20">
        <v>-1000</v>
      </c>
      <c r="L203" t="s">
        <v>269</v>
      </c>
      <c r="M203" t="s">
        <v>115</v>
      </c>
      <c r="N203" t="s">
        <v>103</v>
      </c>
    </row>
    <row r="204" spans="1:14" x14ac:dyDescent="0.3">
      <c r="A204" s="8">
        <v>45777</v>
      </c>
      <c r="B204" t="s">
        <v>198</v>
      </c>
      <c r="C204" t="s">
        <v>167</v>
      </c>
      <c r="D204" s="20">
        <v>1800</v>
      </c>
      <c r="E204" t="s">
        <v>365</v>
      </c>
      <c r="F204" t="s">
        <v>334</v>
      </c>
      <c r="G204" t="s">
        <v>25</v>
      </c>
      <c r="H204" t="s">
        <v>337</v>
      </c>
      <c r="I204">
        <v>4</v>
      </c>
      <c r="J204">
        <v>2</v>
      </c>
      <c r="K204" s="20">
        <v>1800</v>
      </c>
      <c r="L204" t="s">
        <v>268</v>
      </c>
      <c r="M204" t="s">
        <v>49</v>
      </c>
      <c r="N204" t="s">
        <v>26</v>
      </c>
    </row>
    <row r="205" spans="1:14" x14ac:dyDescent="0.3">
      <c r="A205" s="8">
        <v>45777</v>
      </c>
      <c r="B205" t="s">
        <v>198</v>
      </c>
      <c r="C205" t="s">
        <v>155</v>
      </c>
      <c r="D205" s="20">
        <v>10000</v>
      </c>
      <c r="E205" t="s">
        <v>274</v>
      </c>
      <c r="F205" t="s">
        <v>333</v>
      </c>
      <c r="G205" t="s">
        <v>25</v>
      </c>
      <c r="H205" t="s">
        <v>336</v>
      </c>
      <c r="I205">
        <v>4</v>
      </c>
      <c r="J205">
        <v>2</v>
      </c>
      <c r="K205" s="20">
        <v>-10000</v>
      </c>
      <c r="L205" t="s">
        <v>269</v>
      </c>
      <c r="M205" t="s">
        <v>29</v>
      </c>
      <c r="N205" t="s">
        <v>26</v>
      </c>
    </row>
    <row r="206" spans="1:14" x14ac:dyDescent="0.3">
      <c r="A206" s="8">
        <v>45777</v>
      </c>
      <c r="B206" t="s">
        <v>198</v>
      </c>
      <c r="C206" t="s">
        <v>155</v>
      </c>
      <c r="D206" s="20">
        <v>2000</v>
      </c>
      <c r="E206" t="s">
        <v>376</v>
      </c>
      <c r="F206" t="s">
        <v>334</v>
      </c>
      <c r="G206" t="s">
        <v>25</v>
      </c>
      <c r="H206" t="s">
        <v>337</v>
      </c>
      <c r="I206">
        <v>4</v>
      </c>
      <c r="J206">
        <v>2</v>
      </c>
      <c r="K206" s="20">
        <v>2000</v>
      </c>
      <c r="L206" t="s">
        <v>268</v>
      </c>
      <c r="M206" t="s">
        <v>29</v>
      </c>
      <c r="N206" t="s">
        <v>26</v>
      </c>
    </row>
    <row r="207" spans="1:14" x14ac:dyDescent="0.3">
      <c r="A207" s="8">
        <v>45777</v>
      </c>
      <c r="B207" t="s">
        <v>198</v>
      </c>
      <c r="C207" t="s">
        <v>203</v>
      </c>
      <c r="D207" s="20">
        <v>1000</v>
      </c>
      <c r="E207" t="s">
        <v>407</v>
      </c>
      <c r="F207" t="s">
        <v>334</v>
      </c>
      <c r="G207" t="s">
        <v>25</v>
      </c>
      <c r="H207" t="s">
        <v>337</v>
      </c>
      <c r="I207">
        <v>4</v>
      </c>
      <c r="J207">
        <v>2</v>
      </c>
      <c r="K207" s="20">
        <v>1000</v>
      </c>
      <c r="L207" t="s">
        <v>268</v>
      </c>
      <c r="M207" t="s">
        <v>74</v>
      </c>
      <c r="N207" t="s">
        <v>26</v>
      </c>
    </row>
    <row r="208" spans="1:14" x14ac:dyDescent="0.3">
      <c r="A208" s="8">
        <v>45777</v>
      </c>
      <c r="B208" t="s">
        <v>198</v>
      </c>
      <c r="C208" t="s">
        <v>162</v>
      </c>
      <c r="D208" s="20">
        <v>3600</v>
      </c>
      <c r="E208" t="s">
        <v>388</v>
      </c>
      <c r="F208" t="s">
        <v>334</v>
      </c>
      <c r="G208" t="s">
        <v>25</v>
      </c>
      <c r="H208" t="s">
        <v>337</v>
      </c>
      <c r="I208">
        <v>4</v>
      </c>
      <c r="J208">
        <v>2</v>
      </c>
      <c r="K208" s="20">
        <v>3600</v>
      </c>
      <c r="L208" t="s">
        <v>268</v>
      </c>
      <c r="M208" t="s">
        <v>33</v>
      </c>
      <c r="N208" t="s">
        <v>26</v>
      </c>
    </row>
    <row r="209" spans="1:14" x14ac:dyDescent="0.3">
      <c r="A209" s="8">
        <v>45777</v>
      </c>
      <c r="B209" t="s">
        <v>198</v>
      </c>
      <c r="C209" t="s">
        <v>193</v>
      </c>
      <c r="D209" s="20">
        <v>3000</v>
      </c>
      <c r="E209" t="s">
        <v>398</v>
      </c>
      <c r="F209" t="s">
        <v>334</v>
      </c>
      <c r="G209" t="s">
        <v>25</v>
      </c>
      <c r="H209" t="s">
        <v>337</v>
      </c>
      <c r="I209">
        <v>4</v>
      </c>
      <c r="J209">
        <v>2</v>
      </c>
      <c r="K209" s="20">
        <v>3000</v>
      </c>
      <c r="L209" t="s">
        <v>268</v>
      </c>
      <c r="M209" t="s">
        <v>86</v>
      </c>
      <c r="N209" t="s">
        <v>26</v>
      </c>
    </row>
    <row r="210" spans="1:14" x14ac:dyDescent="0.3">
      <c r="A210" s="8">
        <v>45777</v>
      </c>
      <c r="B210" t="s">
        <v>198</v>
      </c>
      <c r="C210" t="s">
        <v>163</v>
      </c>
      <c r="D210" s="20">
        <v>2500</v>
      </c>
      <c r="E210" t="s">
        <v>377</v>
      </c>
      <c r="F210" t="s">
        <v>334</v>
      </c>
      <c r="G210" t="s">
        <v>25</v>
      </c>
      <c r="H210" t="s">
        <v>337</v>
      </c>
      <c r="I210">
        <v>4</v>
      </c>
      <c r="J210">
        <v>2</v>
      </c>
      <c r="K210" s="20">
        <v>2500</v>
      </c>
      <c r="L210" t="s">
        <v>268</v>
      </c>
      <c r="M210" t="s">
        <v>34</v>
      </c>
      <c r="N210" t="s">
        <v>26</v>
      </c>
    </row>
    <row r="211" spans="1:14" x14ac:dyDescent="0.3">
      <c r="A211" s="8">
        <v>45777</v>
      </c>
      <c r="B211" t="s">
        <v>198</v>
      </c>
      <c r="C211" t="s">
        <v>345</v>
      </c>
      <c r="D211" s="20">
        <v>2000</v>
      </c>
      <c r="E211" t="s">
        <v>385</v>
      </c>
      <c r="F211" t="s">
        <v>334</v>
      </c>
      <c r="G211" t="s">
        <v>25</v>
      </c>
      <c r="H211" t="s">
        <v>337</v>
      </c>
      <c r="I211">
        <v>4</v>
      </c>
      <c r="J211">
        <v>2</v>
      </c>
      <c r="K211" s="20">
        <v>2000</v>
      </c>
      <c r="L211" t="s">
        <v>268</v>
      </c>
      <c r="M211" t="s">
        <v>54</v>
      </c>
      <c r="N211" t="s">
        <v>26</v>
      </c>
    </row>
    <row r="212" spans="1:14" x14ac:dyDescent="0.3">
      <c r="A212" s="8">
        <v>45777</v>
      </c>
      <c r="B212" t="s">
        <v>198</v>
      </c>
      <c r="C212" t="s">
        <v>172</v>
      </c>
      <c r="D212" s="20">
        <v>3600</v>
      </c>
      <c r="E212" t="s">
        <v>370</v>
      </c>
      <c r="F212" t="s">
        <v>334</v>
      </c>
      <c r="G212" t="s">
        <v>25</v>
      </c>
      <c r="H212" t="s">
        <v>337</v>
      </c>
      <c r="I212">
        <v>4</v>
      </c>
      <c r="J212">
        <v>2</v>
      </c>
      <c r="K212" s="20">
        <v>3600</v>
      </c>
      <c r="L212" t="s">
        <v>268</v>
      </c>
      <c r="M212" t="s">
        <v>58</v>
      </c>
      <c r="N212" t="s">
        <v>26</v>
      </c>
    </row>
    <row r="213" spans="1:14" x14ac:dyDescent="0.3">
      <c r="A213" s="8">
        <v>45777</v>
      </c>
      <c r="B213" t="s">
        <v>198</v>
      </c>
      <c r="C213" t="s">
        <v>181</v>
      </c>
      <c r="D213" s="20">
        <v>2000</v>
      </c>
      <c r="E213" t="s">
        <v>382</v>
      </c>
      <c r="F213" t="s">
        <v>334</v>
      </c>
      <c r="G213" t="s">
        <v>25</v>
      </c>
      <c r="H213" t="s">
        <v>337</v>
      </c>
      <c r="I213">
        <v>4</v>
      </c>
      <c r="J213">
        <v>2</v>
      </c>
      <c r="K213" s="20">
        <v>2000</v>
      </c>
      <c r="L213" t="s">
        <v>268</v>
      </c>
      <c r="M213" t="s">
        <v>56</v>
      </c>
      <c r="N213" t="s">
        <v>26</v>
      </c>
    </row>
    <row r="214" spans="1:14" x14ac:dyDescent="0.3">
      <c r="A214" s="8">
        <v>45777</v>
      </c>
      <c r="B214" t="s">
        <v>198</v>
      </c>
      <c r="C214" t="s">
        <v>361</v>
      </c>
      <c r="D214" s="20">
        <v>5000</v>
      </c>
      <c r="E214" t="s">
        <v>306</v>
      </c>
      <c r="F214" t="s">
        <v>333</v>
      </c>
      <c r="G214" t="s">
        <v>124</v>
      </c>
      <c r="H214" t="s">
        <v>336</v>
      </c>
      <c r="I214">
        <v>4</v>
      </c>
      <c r="J214">
        <v>2</v>
      </c>
      <c r="K214" s="20">
        <v>-5000</v>
      </c>
      <c r="L214" t="s">
        <v>269</v>
      </c>
      <c r="M214" t="s">
        <v>125</v>
      </c>
      <c r="N214" t="s">
        <v>103</v>
      </c>
    </row>
    <row r="215" spans="1:14" x14ac:dyDescent="0.3">
      <c r="A215" s="8">
        <v>45777</v>
      </c>
      <c r="B215" t="s">
        <v>198</v>
      </c>
      <c r="C215" t="s">
        <v>156</v>
      </c>
      <c r="D215" s="20">
        <v>3000</v>
      </c>
      <c r="E215" t="s">
        <v>374</v>
      </c>
      <c r="F215" t="s">
        <v>334</v>
      </c>
      <c r="G215" t="s">
        <v>25</v>
      </c>
      <c r="H215" t="s">
        <v>337</v>
      </c>
      <c r="I215">
        <v>4</v>
      </c>
      <c r="J215">
        <v>2</v>
      </c>
      <c r="K215" s="20">
        <v>3000</v>
      </c>
      <c r="L215" t="s">
        <v>268</v>
      </c>
      <c r="M215" t="s">
        <v>75</v>
      </c>
      <c r="N215" t="s">
        <v>26</v>
      </c>
    </row>
    <row r="216" spans="1:14" x14ac:dyDescent="0.3">
      <c r="A216" s="8">
        <v>45778</v>
      </c>
      <c r="B216" t="s">
        <v>206</v>
      </c>
      <c r="C216" t="s">
        <v>195</v>
      </c>
      <c r="D216" s="20">
        <v>151</v>
      </c>
      <c r="E216" t="s">
        <v>328</v>
      </c>
      <c r="F216" t="s">
        <v>333</v>
      </c>
      <c r="G216" t="s">
        <v>319</v>
      </c>
      <c r="H216" t="s">
        <v>336</v>
      </c>
      <c r="I216">
        <v>5</v>
      </c>
      <c r="J216">
        <v>2</v>
      </c>
      <c r="K216" s="20">
        <v>-151</v>
      </c>
      <c r="L216" t="s">
        <v>269</v>
      </c>
      <c r="M216" t="s">
        <v>315</v>
      </c>
      <c r="N216" t="s">
        <v>90</v>
      </c>
    </row>
    <row r="217" spans="1:14" x14ac:dyDescent="0.3">
      <c r="A217" s="8">
        <v>45778</v>
      </c>
      <c r="B217" t="s">
        <v>206</v>
      </c>
      <c r="C217" t="s">
        <v>148</v>
      </c>
      <c r="D217" s="20">
        <v>29015</v>
      </c>
      <c r="E217" t="s">
        <v>324</v>
      </c>
      <c r="F217" t="s">
        <v>333</v>
      </c>
      <c r="G217" t="s">
        <v>139</v>
      </c>
      <c r="H217" t="s">
        <v>336</v>
      </c>
      <c r="I217">
        <v>5</v>
      </c>
      <c r="J217">
        <v>2</v>
      </c>
      <c r="K217" s="20">
        <v>-29015</v>
      </c>
      <c r="L217" t="s">
        <v>269</v>
      </c>
      <c r="M217" t="s">
        <v>322</v>
      </c>
      <c r="N217" t="s">
        <v>138</v>
      </c>
    </row>
    <row r="218" spans="1:14" x14ac:dyDescent="0.3">
      <c r="A218" s="8">
        <v>45778</v>
      </c>
      <c r="B218" t="s">
        <v>206</v>
      </c>
      <c r="C218" t="s">
        <v>176</v>
      </c>
      <c r="D218" s="20">
        <v>3600</v>
      </c>
      <c r="E218" t="s">
        <v>375</v>
      </c>
      <c r="F218" t="s">
        <v>334</v>
      </c>
      <c r="G218" t="s">
        <v>25</v>
      </c>
      <c r="H218" t="s">
        <v>337</v>
      </c>
      <c r="I218">
        <v>5</v>
      </c>
      <c r="J218">
        <v>2</v>
      </c>
      <c r="K218" s="20">
        <v>3600</v>
      </c>
      <c r="L218" t="s">
        <v>268</v>
      </c>
      <c r="M218" t="s">
        <v>323</v>
      </c>
      <c r="N218" t="s">
        <v>26</v>
      </c>
    </row>
    <row r="219" spans="1:14" x14ac:dyDescent="0.3">
      <c r="A219" s="8">
        <v>45782</v>
      </c>
      <c r="B219" t="s">
        <v>206</v>
      </c>
      <c r="C219" t="s">
        <v>207</v>
      </c>
      <c r="D219" s="20">
        <v>500</v>
      </c>
      <c r="E219" t="s">
        <v>272</v>
      </c>
      <c r="F219" t="s">
        <v>333</v>
      </c>
      <c r="G219" t="s">
        <v>136</v>
      </c>
      <c r="H219" t="s">
        <v>336</v>
      </c>
      <c r="I219">
        <v>5</v>
      </c>
      <c r="J219">
        <v>2</v>
      </c>
      <c r="K219" s="20">
        <v>-500</v>
      </c>
      <c r="L219" t="s">
        <v>269</v>
      </c>
      <c r="M219" t="s">
        <v>137</v>
      </c>
      <c r="N219" t="s">
        <v>135</v>
      </c>
    </row>
    <row r="220" spans="1:14" x14ac:dyDescent="0.3">
      <c r="A220" s="8">
        <v>45784</v>
      </c>
      <c r="B220" t="s">
        <v>206</v>
      </c>
      <c r="C220" t="s">
        <v>209</v>
      </c>
      <c r="D220" s="20">
        <v>1700</v>
      </c>
      <c r="E220" t="s">
        <v>272</v>
      </c>
      <c r="F220" t="s">
        <v>333</v>
      </c>
      <c r="G220" t="s">
        <v>136</v>
      </c>
      <c r="H220" t="s">
        <v>336</v>
      </c>
      <c r="I220">
        <v>5</v>
      </c>
      <c r="J220">
        <v>2</v>
      </c>
      <c r="K220" s="20">
        <v>-1700</v>
      </c>
      <c r="L220" t="s">
        <v>269</v>
      </c>
      <c r="M220" t="s">
        <v>137</v>
      </c>
      <c r="N220" t="s">
        <v>135</v>
      </c>
    </row>
    <row r="221" spans="1:14" x14ac:dyDescent="0.3">
      <c r="A221" s="8">
        <v>45784</v>
      </c>
      <c r="B221" t="s">
        <v>206</v>
      </c>
      <c r="C221" t="s">
        <v>169</v>
      </c>
      <c r="D221" s="20">
        <v>431</v>
      </c>
      <c r="E221" t="s">
        <v>395</v>
      </c>
      <c r="F221" t="s">
        <v>334</v>
      </c>
      <c r="G221" t="s">
        <v>25</v>
      </c>
      <c r="H221" t="s">
        <v>337</v>
      </c>
      <c r="I221">
        <v>5</v>
      </c>
      <c r="J221">
        <v>2</v>
      </c>
      <c r="K221" s="20">
        <v>431</v>
      </c>
      <c r="L221" t="s">
        <v>268</v>
      </c>
      <c r="M221" t="s">
        <v>38</v>
      </c>
      <c r="N221" t="s">
        <v>26</v>
      </c>
    </row>
    <row r="222" spans="1:14" x14ac:dyDescent="0.3">
      <c r="A222" s="8">
        <v>45784</v>
      </c>
      <c r="B222" t="s">
        <v>206</v>
      </c>
      <c r="C222" t="s">
        <v>208</v>
      </c>
      <c r="D222" s="20">
        <v>402</v>
      </c>
      <c r="E222" t="s">
        <v>326</v>
      </c>
      <c r="F222" t="s">
        <v>333</v>
      </c>
      <c r="G222" t="s">
        <v>319</v>
      </c>
      <c r="H222" t="s">
        <v>336</v>
      </c>
      <c r="I222">
        <v>5</v>
      </c>
      <c r="J222">
        <v>2</v>
      </c>
      <c r="K222" s="20">
        <v>-402</v>
      </c>
      <c r="L222" t="s">
        <v>269</v>
      </c>
      <c r="M222" t="s">
        <v>318</v>
      </c>
      <c r="N222" t="s">
        <v>90</v>
      </c>
    </row>
    <row r="223" spans="1:14" x14ac:dyDescent="0.3">
      <c r="A223" s="8">
        <v>45788</v>
      </c>
      <c r="B223" t="s">
        <v>206</v>
      </c>
      <c r="C223" t="s">
        <v>164</v>
      </c>
      <c r="D223" s="20">
        <v>2000</v>
      </c>
      <c r="E223" t="s">
        <v>379</v>
      </c>
      <c r="F223" t="s">
        <v>334</v>
      </c>
      <c r="G223" t="s">
        <v>25</v>
      </c>
      <c r="H223" t="s">
        <v>337</v>
      </c>
      <c r="I223">
        <v>5</v>
      </c>
      <c r="J223">
        <v>2</v>
      </c>
      <c r="K223" s="20">
        <v>2000</v>
      </c>
      <c r="L223" t="s">
        <v>268</v>
      </c>
      <c r="M223" t="s">
        <v>321</v>
      </c>
      <c r="N223" t="s">
        <v>26</v>
      </c>
    </row>
    <row r="224" spans="1:14" x14ac:dyDescent="0.3">
      <c r="A224" s="8">
        <v>45789</v>
      </c>
      <c r="B224" t="s">
        <v>206</v>
      </c>
      <c r="C224" t="s">
        <v>210</v>
      </c>
      <c r="D224" s="20">
        <v>450</v>
      </c>
      <c r="E224" t="s">
        <v>272</v>
      </c>
      <c r="F224" t="s">
        <v>333</v>
      </c>
      <c r="G224" t="s">
        <v>136</v>
      </c>
      <c r="H224" t="s">
        <v>336</v>
      </c>
      <c r="I224">
        <v>5</v>
      </c>
      <c r="J224">
        <v>2</v>
      </c>
      <c r="K224" s="20">
        <v>-450</v>
      </c>
      <c r="L224" t="s">
        <v>269</v>
      </c>
      <c r="M224" t="s">
        <v>137</v>
      </c>
      <c r="N224" t="s">
        <v>135</v>
      </c>
    </row>
    <row r="225" spans="1:14" x14ac:dyDescent="0.3">
      <c r="A225" s="8">
        <v>45792</v>
      </c>
      <c r="B225" t="s">
        <v>206</v>
      </c>
      <c r="C225" t="s">
        <v>172</v>
      </c>
      <c r="D225" s="20">
        <v>18400</v>
      </c>
      <c r="E225" t="s">
        <v>294</v>
      </c>
      <c r="F225" t="s">
        <v>333</v>
      </c>
      <c r="G225" t="s">
        <v>25</v>
      </c>
      <c r="H225" t="s">
        <v>336</v>
      </c>
      <c r="I225">
        <v>5</v>
      </c>
      <c r="J225">
        <v>2</v>
      </c>
      <c r="K225" s="20">
        <v>-18400</v>
      </c>
      <c r="L225" t="s">
        <v>269</v>
      </c>
      <c r="M225" t="s">
        <v>58</v>
      </c>
      <c r="N225" t="s">
        <v>26</v>
      </c>
    </row>
    <row r="226" spans="1:14" x14ac:dyDescent="0.3">
      <c r="A226" s="8">
        <v>45792</v>
      </c>
      <c r="B226" t="s">
        <v>206</v>
      </c>
      <c r="C226" t="s">
        <v>172</v>
      </c>
      <c r="D226" s="20">
        <v>3600</v>
      </c>
      <c r="E226" t="s">
        <v>370</v>
      </c>
      <c r="F226" t="s">
        <v>334</v>
      </c>
      <c r="G226" t="s">
        <v>25</v>
      </c>
      <c r="H226" t="s">
        <v>337</v>
      </c>
      <c r="I226">
        <v>5</v>
      </c>
      <c r="J226">
        <v>2</v>
      </c>
      <c r="K226" s="20">
        <v>3600</v>
      </c>
      <c r="L226" t="s">
        <v>268</v>
      </c>
      <c r="M226" t="s">
        <v>58</v>
      </c>
      <c r="N226" t="s">
        <v>26</v>
      </c>
    </row>
    <row r="227" spans="1:14" x14ac:dyDescent="0.3">
      <c r="A227" s="8">
        <v>45792</v>
      </c>
      <c r="B227" t="s">
        <v>206</v>
      </c>
      <c r="C227" t="s">
        <v>155</v>
      </c>
      <c r="D227" s="20">
        <v>2000</v>
      </c>
      <c r="E227" t="s">
        <v>376</v>
      </c>
      <c r="F227" t="s">
        <v>334</v>
      </c>
      <c r="G227" t="s">
        <v>25</v>
      </c>
      <c r="H227" t="s">
        <v>337</v>
      </c>
      <c r="I227">
        <v>5</v>
      </c>
      <c r="J227">
        <v>2</v>
      </c>
      <c r="K227" s="20">
        <v>2000</v>
      </c>
      <c r="L227" t="s">
        <v>268</v>
      </c>
      <c r="M227" t="s">
        <v>29</v>
      </c>
      <c r="N227" t="s">
        <v>26</v>
      </c>
    </row>
    <row r="228" spans="1:14" x14ac:dyDescent="0.3">
      <c r="A228" s="8">
        <v>45792</v>
      </c>
      <c r="B228" t="s">
        <v>206</v>
      </c>
      <c r="C228" t="s">
        <v>176</v>
      </c>
      <c r="D228" s="20">
        <v>3600</v>
      </c>
      <c r="E228" t="s">
        <v>375</v>
      </c>
      <c r="F228" t="s">
        <v>334</v>
      </c>
      <c r="G228" t="s">
        <v>25</v>
      </c>
      <c r="H228" t="s">
        <v>337</v>
      </c>
      <c r="I228">
        <v>5</v>
      </c>
      <c r="J228">
        <v>2</v>
      </c>
      <c r="K228" s="20">
        <v>3600</v>
      </c>
      <c r="L228" t="s">
        <v>268</v>
      </c>
      <c r="M228" t="s">
        <v>323</v>
      </c>
      <c r="N228" t="s">
        <v>26</v>
      </c>
    </row>
    <row r="229" spans="1:14" x14ac:dyDescent="0.3">
      <c r="A229" s="8">
        <v>45792</v>
      </c>
      <c r="B229" t="s">
        <v>206</v>
      </c>
      <c r="C229" t="s">
        <v>162</v>
      </c>
      <c r="D229" s="20">
        <v>1200</v>
      </c>
      <c r="E229" t="s">
        <v>388</v>
      </c>
      <c r="F229" t="s">
        <v>334</v>
      </c>
      <c r="G229" t="s">
        <v>25</v>
      </c>
      <c r="H229" t="s">
        <v>337</v>
      </c>
      <c r="I229">
        <v>5</v>
      </c>
      <c r="J229">
        <v>2</v>
      </c>
      <c r="K229" s="20">
        <v>1200</v>
      </c>
      <c r="L229" t="s">
        <v>268</v>
      </c>
      <c r="M229" t="s">
        <v>33</v>
      </c>
      <c r="N229" t="s">
        <v>26</v>
      </c>
    </row>
    <row r="230" spans="1:14" x14ac:dyDescent="0.3">
      <c r="A230" s="8">
        <v>45792</v>
      </c>
      <c r="B230" t="s">
        <v>206</v>
      </c>
      <c r="C230" t="s">
        <v>156</v>
      </c>
      <c r="D230" s="20">
        <v>5000</v>
      </c>
      <c r="E230" t="s">
        <v>374</v>
      </c>
      <c r="F230" t="s">
        <v>334</v>
      </c>
      <c r="G230" t="s">
        <v>25</v>
      </c>
      <c r="H230" t="s">
        <v>337</v>
      </c>
      <c r="I230">
        <v>5</v>
      </c>
      <c r="J230">
        <v>2</v>
      </c>
      <c r="K230" s="20">
        <v>5000</v>
      </c>
      <c r="L230" t="s">
        <v>268</v>
      </c>
      <c r="M230" t="s">
        <v>75</v>
      </c>
      <c r="N230" t="s">
        <v>26</v>
      </c>
    </row>
    <row r="231" spans="1:14" x14ac:dyDescent="0.3">
      <c r="A231" s="8">
        <v>45792</v>
      </c>
      <c r="B231" t="s">
        <v>206</v>
      </c>
      <c r="C231" t="s">
        <v>155</v>
      </c>
      <c r="D231" s="20">
        <v>10000</v>
      </c>
      <c r="E231" t="s">
        <v>274</v>
      </c>
      <c r="F231" t="s">
        <v>333</v>
      </c>
      <c r="G231" t="s">
        <v>25</v>
      </c>
      <c r="H231" t="s">
        <v>336</v>
      </c>
      <c r="I231">
        <v>5</v>
      </c>
      <c r="J231">
        <v>2</v>
      </c>
      <c r="K231" s="20">
        <v>-10000</v>
      </c>
      <c r="L231" t="s">
        <v>269</v>
      </c>
      <c r="M231" t="s">
        <v>29</v>
      </c>
      <c r="N231" t="s">
        <v>26</v>
      </c>
    </row>
    <row r="232" spans="1:14" x14ac:dyDescent="0.3">
      <c r="A232" s="8">
        <v>45793</v>
      </c>
      <c r="B232" t="s">
        <v>243</v>
      </c>
      <c r="C232" t="s">
        <v>195</v>
      </c>
      <c r="D232" s="20">
        <v>181</v>
      </c>
      <c r="E232" t="s">
        <v>328</v>
      </c>
      <c r="F232" t="s">
        <v>333</v>
      </c>
      <c r="G232" t="s">
        <v>319</v>
      </c>
      <c r="H232" t="s">
        <v>336</v>
      </c>
      <c r="I232">
        <v>5</v>
      </c>
      <c r="J232">
        <v>2</v>
      </c>
      <c r="K232" s="20">
        <v>-181</v>
      </c>
      <c r="L232" t="s">
        <v>269</v>
      </c>
      <c r="M232" t="s">
        <v>315</v>
      </c>
      <c r="N232" t="s">
        <v>90</v>
      </c>
    </row>
    <row r="233" spans="1:14" x14ac:dyDescent="0.3">
      <c r="A233" s="8">
        <v>45793</v>
      </c>
      <c r="B233" t="s">
        <v>206</v>
      </c>
      <c r="C233" t="s">
        <v>195</v>
      </c>
      <c r="D233" s="20">
        <v>181</v>
      </c>
      <c r="E233" t="s">
        <v>328</v>
      </c>
      <c r="F233" t="s">
        <v>333</v>
      </c>
      <c r="G233" t="s">
        <v>319</v>
      </c>
      <c r="H233" t="s">
        <v>336</v>
      </c>
      <c r="I233">
        <v>5</v>
      </c>
      <c r="J233">
        <v>2</v>
      </c>
      <c r="K233" s="20">
        <v>-181</v>
      </c>
      <c r="L233" t="s">
        <v>269</v>
      </c>
      <c r="M233" t="s">
        <v>315</v>
      </c>
      <c r="N233" t="s">
        <v>90</v>
      </c>
    </row>
    <row r="234" spans="1:14" x14ac:dyDescent="0.3">
      <c r="A234" s="8">
        <v>45793</v>
      </c>
      <c r="B234" t="s">
        <v>206</v>
      </c>
      <c r="C234" t="s">
        <v>179</v>
      </c>
      <c r="D234" s="20">
        <v>3000</v>
      </c>
      <c r="E234" t="s">
        <v>378</v>
      </c>
      <c r="F234" t="s">
        <v>334</v>
      </c>
      <c r="G234" t="s">
        <v>25</v>
      </c>
      <c r="H234" t="s">
        <v>337</v>
      </c>
      <c r="I234">
        <v>5</v>
      </c>
      <c r="J234">
        <v>2</v>
      </c>
      <c r="K234" s="20">
        <v>3000</v>
      </c>
      <c r="L234" t="s">
        <v>268</v>
      </c>
      <c r="M234" t="s">
        <v>45</v>
      </c>
      <c r="N234" t="s">
        <v>26</v>
      </c>
    </row>
    <row r="235" spans="1:14" x14ac:dyDescent="0.3">
      <c r="A235" s="8">
        <v>45793</v>
      </c>
      <c r="B235" t="s">
        <v>206</v>
      </c>
      <c r="C235" t="s">
        <v>203</v>
      </c>
      <c r="D235" s="20">
        <v>3000</v>
      </c>
      <c r="E235" t="s">
        <v>407</v>
      </c>
      <c r="F235" t="s">
        <v>334</v>
      </c>
      <c r="G235" t="s">
        <v>25</v>
      </c>
      <c r="H235" t="s">
        <v>337</v>
      </c>
      <c r="I235">
        <v>5</v>
      </c>
      <c r="J235">
        <v>2</v>
      </c>
      <c r="K235" s="20">
        <v>3000</v>
      </c>
      <c r="L235" t="s">
        <v>268</v>
      </c>
      <c r="M235" t="s">
        <v>74</v>
      </c>
      <c r="N235" t="s">
        <v>26</v>
      </c>
    </row>
    <row r="236" spans="1:14" x14ac:dyDescent="0.3">
      <c r="A236" s="8">
        <v>45793</v>
      </c>
      <c r="B236" t="s">
        <v>206</v>
      </c>
      <c r="C236" t="s">
        <v>174</v>
      </c>
      <c r="D236" s="20">
        <v>431</v>
      </c>
      <c r="E236" t="s">
        <v>371</v>
      </c>
      <c r="F236" t="s">
        <v>334</v>
      </c>
      <c r="G236" t="s">
        <v>25</v>
      </c>
      <c r="H236" t="s">
        <v>337</v>
      </c>
      <c r="I236">
        <v>5</v>
      </c>
      <c r="J236">
        <v>2</v>
      </c>
      <c r="K236" s="20">
        <v>431</v>
      </c>
      <c r="L236" t="s">
        <v>268</v>
      </c>
      <c r="M236" t="s">
        <v>60</v>
      </c>
      <c r="N236" t="s">
        <v>26</v>
      </c>
    </row>
    <row r="237" spans="1:14" x14ac:dyDescent="0.3">
      <c r="A237" s="8">
        <v>45793</v>
      </c>
      <c r="B237" t="s">
        <v>206</v>
      </c>
      <c r="C237" t="s">
        <v>181</v>
      </c>
      <c r="D237" s="20">
        <v>2000</v>
      </c>
      <c r="E237" t="s">
        <v>382</v>
      </c>
      <c r="F237" t="s">
        <v>334</v>
      </c>
      <c r="G237" t="s">
        <v>25</v>
      </c>
      <c r="H237" t="s">
        <v>337</v>
      </c>
      <c r="I237">
        <v>5</v>
      </c>
      <c r="J237">
        <v>2</v>
      </c>
      <c r="K237" s="20">
        <v>2000</v>
      </c>
      <c r="L237" t="s">
        <v>268</v>
      </c>
      <c r="M237" t="s">
        <v>56</v>
      </c>
      <c r="N237" t="s">
        <v>26</v>
      </c>
    </row>
    <row r="238" spans="1:14" x14ac:dyDescent="0.3">
      <c r="A238" s="8">
        <v>45794</v>
      </c>
      <c r="B238" t="s">
        <v>206</v>
      </c>
      <c r="C238" t="s">
        <v>177</v>
      </c>
      <c r="D238" s="20">
        <v>11000</v>
      </c>
      <c r="E238" t="s">
        <v>373</v>
      </c>
      <c r="F238" t="s">
        <v>334</v>
      </c>
      <c r="G238" t="s">
        <v>139</v>
      </c>
      <c r="H238" t="s">
        <v>337</v>
      </c>
      <c r="I238">
        <v>5</v>
      </c>
      <c r="J238">
        <v>2</v>
      </c>
      <c r="K238" s="20">
        <v>11000</v>
      </c>
      <c r="L238" t="s">
        <v>268</v>
      </c>
      <c r="M238" t="s">
        <v>141</v>
      </c>
      <c r="N238" t="s">
        <v>26</v>
      </c>
    </row>
    <row r="239" spans="1:14" x14ac:dyDescent="0.3">
      <c r="A239" s="8">
        <v>45794</v>
      </c>
      <c r="B239" t="s">
        <v>206</v>
      </c>
      <c r="C239" t="s">
        <v>211</v>
      </c>
      <c r="D239" s="20">
        <v>260</v>
      </c>
      <c r="E239" t="s">
        <v>272</v>
      </c>
      <c r="F239" t="s">
        <v>333</v>
      </c>
      <c r="G239" t="s">
        <v>136</v>
      </c>
      <c r="H239" t="s">
        <v>336</v>
      </c>
      <c r="I239">
        <v>5</v>
      </c>
      <c r="J239">
        <v>2</v>
      </c>
      <c r="K239" s="20">
        <v>-260</v>
      </c>
      <c r="L239" t="s">
        <v>269</v>
      </c>
      <c r="M239" t="s">
        <v>137</v>
      </c>
      <c r="N239" t="s">
        <v>135</v>
      </c>
    </row>
    <row r="240" spans="1:14" x14ac:dyDescent="0.3">
      <c r="A240" s="8">
        <v>45795</v>
      </c>
      <c r="B240" t="s">
        <v>206</v>
      </c>
      <c r="C240" t="s">
        <v>148</v>
      </c>
      <c r="D240" s="20">
        <v>28015</v>
      </c>
      <c r="E240" t="s">
        <v>324</v>
      </c>
      <c r="F240" t="s">
        <v>333</v>
      </c>
      <c r="G240" t="s">
        <v>139</v>
      </c>
      <c r="H240" t="s">
        <v>336</v>
      </c>
      <c r="I240">
        <v>5</v>
      </c>
      <c r="J240">
        <v>2</v>
      </c>
      <c r="K240" s="20">
        <v>-28015</v>
      </c>
      <c r="L240" t="s">
        <v>269</v>
      </c>
      <c r="M240" t="s">
        <v>322</v>
      </c>
      <c r="N240" t="s">
        <v>138</v>
      </c>
    </row>
    <row r="241" spans="1:14" x14ac:dyDescent="0.3">
      <c r="A241" s="8">
        <v>45796</v>
      </c>
      <c r="B241" t="s">
        <v>206</v>
      </c>
      <c r="C241" t="s">
        <v>342</v>
      </c>
      <c r="D241" s="20">
        <v>6505</v>
      </c>
      <c r="E241" t="s">
        <v>273</v>
      </c>
      <c r="F241" t="s">
        <v>333</v>
      </c>
      <c r="G241" t="s">
        <v>98</v>
      </c>
      <c r="H241" t="s">
        <v>336</v>
      </c>
      <c r="I241">
        <v>5</v>
      </c>
      <c r="J241">
        <v>2</v>
      </c>
      <c r="K241" s="20">
        <v>-6505</v>
      </c>
      <c r="L241" t="s">
        <v>269</v>
      </c>
      <c r="M241" t="s">
        <v>116</v>
      </c>
      <c r="N241" t="s">
        <v>94</v>
      </c>
    </row>
    <row r="242" spans="1:14" x14ac:dyDescent="0.3">
      <c r="A242" s="8">
        <v>45797</v>
      </c>
      <c r="B242" t="s">
        <v>206</v>
      </c>
      <c r="C242" t="s">
        <v>202</v>
      </c>
      <c r="D242" s="20">
        <v>1000</v>
      </c>
      <c r="E242" t="s">
        <v>403</v>
      </c>
      <c r="F242" t="s">
        <v>334</v>
      </c>
      <c r="G242" t="s">
        <v>25</v>
      </c>
      <c r="H242" t="s">
        <v>337</v>
      </c>
      <c r="I242">
        <v>5</v>
      </c>
      <c r="J242">
        <v>2</v>
      </c>
      <c r="K242" s="20">
        <v>1000</v>
      </c>
      <c r="L242" t="s">
        <v>268</v>
      </c>
      <c r="M242" t="s">
        <v>80</v>
      </c>
      <c r="N242" t="s">
        <v>26</v>
      </c>
    </row>
    <row r="243" spans="1:14" x14ac:dyDescent="0.3">
      <c r="A243" s="8">
        <v>45798</v>
      </c>
      <c r="B243" t="s">
        <v>206</v>
      </c>
      <c r="C243" t="s">
        <v>166</v>
      </c>
      <c r="D243" s="20">
        <v>1500</v>
      </c>
      <c r="E243" t="s">
        <v>364</v>
      </c>
      <c r="F243" t="s">
        <v>334</v>
      </c>
      <c r="G243" t="s">
        <v>25</v>
      </c>
      <c r="H243" t="s">
        <v>337</v>
      </c>
      <c r="I243">
        <v>5</v>
      </c>
      <c r="J243">
        <v>2</v>
      </c>
      <c r="K243" s="20">
        <v>1500</v>
      </c>
      <c r="L243" t="s">
        <v>268</v>
      </c>
      <c r="M243" t="s">
        <v>84</v>
      </c>
      <c r="N243" t="s">
        <v>26</v>
      </c>
    </row>
    <row r="244" spans="1:14" x14ac:dyDescent="0.3">
      <c r="A244" s="8">
        <v>45799</v>
      </c>
      <c r="B244" t="s">
        <v>206</v>
      </c>
      <c r="C244" t="s">
        <v>343</v>
      </c>
      <c r="D244" s="20">
        <v>2730.83</v>
      </c>
      <c r="E244" t="s">
        <v>312</v>
      </c>
      <c r="F244" t="s">
        <v>333</v>
      </c>
      <c r="G244" t="s">
        <v>122</v>
      </c>
      <c r="H244" t="s">
        <v>336</v>
      </c>
      <c r="I244">
        <v>5</v>
      </c>
      <c r="J244">
        <v>2</v>
      </c>
      <c r="K244" s="20">
        <v>-2730.83</v>
      </c>
      <c r="L244" t="s">
        <v>269</v>
      </c>
      <c r="M244" t="s">
        <v>311</v>
      </c>
      <c r="N244" t="s">
        <v>121</v>
      </c>
    </row>
    <row r="245" spans="1:14" x14ac:dyDescent="0.3">
      <c r="A245" s="8">
        <v>45800</v>
      </c>
      <c r="B245" t="s">
        <v>206</v>
      </c>
      <c r="C245" t="s">
        <v>171</v>
      </c>
      <c r="D245" s="20">
        <v>6500</v>
      </c>
      <c r="E245" t="s">
        <v>368</v>
      </c>
      <c r="F245" t="s">
        <v>334</v>
      </c>
      <c r="G245" t="s">
        <v>25</v>
      </c>
      <c r="H245" t="s">
        <v>337</v>
      </c>
      <c r="I245">
        <v>5</v>
      </c>
      <c r="J245">
        <v>2</v>
      </c>
      <c r="K245" s="20">
        <v>6500</v>
      </c>
      <c r="L245" t="s">
        <v>268</v>
      </c>
      <c r="M245" t="s">
        <v>61</v>
      </c>
      <c r="N245" t="s">
        <v>26</v>
      </c>
    </row>
    <row r="246" spans="1:14" x14ac:dyDescent="0.3">
      <c r="A246" s="8">
        <v>45800</v>
      </c>
      <c r="B246" t="s">
        <v>206</v>
      </c>
      <c r="C246" t="s">
        <v>152</v>
      </c>
      <c r="D246" s="20">
        <v>5000</v>
      </c>
      <c r="E246" t="s">
        <v>271</v>
      </c>
      <c r="F246" t="s">
        <v>333</v>
      </c>
      <c r="G246" t="s">
        <v>25</v>
      </c>
      <c r="H246" t="s">
        <v>336</v>
      </c>
      <c r="I246">
        <v>5</v>
      </c>
      <c r="J246">
        <v>2</v>
      </c>
      <c r="K246" s="20">
        <v>-5000</v>
      </c>
      <c r="L246" t="s">
        <v>269</v>
      </c>
      <c r="M246" t="s">
        <v>77</v>
      </c>
      <c r="N246" t="s">
        <v>26</v>
      </c>
    </row>
    <row r="247" spans="1:14" x14ac:dyDescent="0.3">
      <c r="A247" s="8">
        <v>45801</v>
      </c>
      <c r="B247" t="s">
        <v>206</v>
      </c>
      <c r="C247" t="s">
        <v>177</v>
      </c>
      <c r="D247" s="20">
        <v>3500</v>
      </c>
      <c r="E247" t="s">
        <v>373</v>
      </c>
      <c r="F247" t="s">
        <v>334</v>
      </c>
      <c r="G247" t="s">
        <v>139</v>
      </c>
      <c r="H247" t="s">
        <v>337</v>
      </c>
      <c r="I247">
        <v>5</v>
      </c>
      <c r="J247">
        <v>2</v>
      </c>
      <c r="K247" s="20">
        <v>3500</v>
      </c>
      <c r="L247" t="s">
        <v>268</v>
      </c>
      <c r="M247" t="s">
        <v>141</v>
      </c>
      <c r="N247" t="s">
        <v>26</v>
      </c>
    </row>
    <row r="248" spans="1:14" x14ac:dyDescent="0.3">
      <c r="A248" s="8">
        <v>45801</v>
      </c>
      <c r="B248" t="s">
        <v>206</v>
      </c>
      <c r="C248" t="s">
        <v>212</v>
      </c>
      <c r="D248" s="20">
        <v>3500</v>
      </c>
      <c r="E248" t="s">
        <v>272</v>
      </c>
      <c r="F248" t="s">
        <v>333</v>
      </c>
      <c r="G248" t="s">
        <v>136</v>
      </c>
      <c r="H248" t="s">
        <v>336</v>
      </c>
      <c r="I248">
        <v>5</v>
      </c>
      <c r="J248">
        <v>2</v>
      </c>
      <c r="K248" s="20">
        <v>-3500</v>
      </c>
      <c r="L248" t="s">
        <v>269</v>
      </c>
      <c r="M248" t="s">
        <v>137</v>
      </c>
      <c r="N248" t="s">
        <v>135</v>
      </c>
    </row>
    <row r="249" spans="1:14" x14ac:dyDescent="0.3">
      <c r="A249" s="8">
        <v>45801</v>
      </c>
      <c r="B249" t="s">
        <v>206</v>
      </c>
      <c r="C249" t="s">
        <v>167</v>
      </c>
      <c r="D249" s="20">
        <v>1800</v>
      </c>
      <c r="E249" t="s">
        <v>284</v>
      </c>
      <c r="F249" t="s">
        <v>333</v>
      </c>
      <c r="G249" t="s">
        <v>25</v>
      </c>
      <c r="H249" t="s">
        <v>336</v>
      </c>
      <c r="I249">
        <v>5</v>
      </c>
      <c r="J249">
        <v>2</v>
      </c>
      <c r="K249" s="20">
        <v>-1800</v>
      </c>
      <c r="L249" t="s">
        <v>269</v>
      </c>
      <c r="M249" t="s">
        <v>49</v>
      </c>
      <c r="N249" t="s">
        <v>26</v>
      </c>
    </row>
    <row r="250" spans="1:14" x14ac:dyDescent="0.3">
      <c r="A250" s="8">
        <v>45806</v>
      </c>
      <c r="B250" t="s">
        <v>206</v>
      </c>
      <c r="C250" t="s">
        <v>172</v>
      </c>
      <c r="D250" s="20">
        <v>3600</v>
      </c>
      <c r="E250" t="s">
        <v>370</v>
      </c>
      <c r="F250" t="s">
        <v>334</v>
      </c>
      <c r="G250" t="s">
        <v>25</v>
      </c>
      <c r="H250" t="s">
        <v>337</v>
      </c>
      <c r="I250">
        <v>5</v>
      </c>
      <c r="J250">
        <v>2</v>
      </c>
      <c r="K250" s="20">
        <v>3600</v>
      </c>
      <c r="L250" t="s">
        <v>268</v>
      </c>
      <c r="M250" t="s">
        <v>58</v>
      </c>
      <c r="N250" t="s">
        <v>26</v>
      </c>
    </row>
    <row r="251" spans="1:14" x14ac:dyDescent="0.3">
      <c r="A251" s="8">
        <v>45807</v>
      </c>
      <c r="B251" t="s">
        <v>206</v>
      </c>
      <c r="C251" t="s">
        <v>176</v>
      </c>
      <c r="D251" s="20">
        <v>3600</v>
      </c>
      <c r="E251" t="s">
        <v>375</v>
      </c>
      <c r="F251" t="s">
        <v>334</v>
      </c>
      <c r="G251" t="s">
        <v>25</v>
      </c>
      <c r="H251" t="s">
        <v>337</v>
      </c>
      <c r="I251">
        <v>5</v>
      </c>
      <c r="J251">
        <v>2</v>
      </c>
      <c r="K251" s="20">
        <v>3600</v>
      </c>
      <c r="L251" t="s">
        <v>268</v>
      </c>
      <c r="M251" t="s">
        <v>323</v>
      </c>
      <c r="N251" t="s">
        <v>26</v>
      </c>
    </row>
    <row r="252" spans="1:14" x14ac:dyDescent="0.3">
      <c r="A252" s="8">
        <v>45807</v>
      </c>
      <c r="B252" t="s">
        <v>206</v>
      </c>
      <c r="C252" t="s">
        <v>347</v>
      </c>
      <c r="D252" s="20">
        <v>500</v>
      </c>
      <c r="E252" t="s">
        <v>285</v>
      </c>
      <c r="F252" t="s">
        <v>333</v>
      </c>
      <c r="G252" t="s">
        <v>91</v>
      </c>
      <c r="H252" t="s">
        <v>336</v>
      </c>
      <c r="I252">
        <v>5</v>
      </c>
      <c r="J252">
        <v>2</v>
      </c>
      <c r="K252" s="20">
        <v>-500</v>
      </c>
      <c r="L252" t="s">
        <v>269</v>
      </c>
      <c r="M252" t="s">
        <v>92</v>
      </c>
      <c r="N252" t="s">
        <v>90</v>
      </c>
    </row>
    <row r="253" spans="1:14" x14ac:dyDescent="0.3">
      <c r="A253" s="8">
        <v>45807</v>
      </c>
      <c r="B253" t="s">
        <v>206</v>
      </c>
      <c r="C253" t="s">
        <v>156</v>
      </c>
      <c r="D253" s="20">
        <v>5000</v>
      </c>
      <c r="E253" t="s">
        <v>374</v>
      </c>
      <c r="F253" t="s">
        <v>334</v>
      </c>
      <c r="G253" t="s">
        <v>25</v>
      </c>
      <c r="H253" t="s">
        <v>337</v>
      </c>
      <c r="I253">
        <v>5</v>
      </c>
      <c r="J253">
        <v>2</v>
      </c>
      <c r="K253" s="20">
        <v>5000</v>
      </c>
      <c r="L253" t="s">
        <v>268</v>
      </c>
      <c r="M253" t="s">
        <v>75</v>
      </c>
      <c r="N253" t="s">
        <v>26</v>
      </c>
    </row>
    <row r="254" spans="1:14" x14ac:dyDescent="0.3">
      <c r="A254" s="8">
        <v>45807</v>
      </c>
      <c r="B254" t="s">
        <v>206</v>
      </c>
      <c r="C254" t="s">
        <v>155</v>
      </c>
      <c r="D254" s="20">
        <v>2000</v>
      </c>
      <c r="E254" t="s">
        <v>376</v>
      </c>
      <c r="F254" t="s">
        <v>334</v>
      </c>
      <c r="G254" t="s">
        <v>25</v>
      </c>
      <c r="H254" t="s">
        <v>337</v>
      </c>
      <c r="I254">
        <v>5</v>
      </c>
      <c r="J254">
        <v>2</v>
      </c>
      <c r="K254" s="20">
        <v>2000</v>
      </c>
      <c r="L254" t="s">
        <v>268</v>
      </c>
      <c r="M254" t="s">
        <v>29</v>
      </c>
      <c r="N254" t="s">
        <v>26</v>
      </c>
    </row>
    <row r="255" spans="1:14" x14ac:dyDescent="0.3">
      <c r="A255" s="8">
        <v>45807</v>
      </c>
      <c r="B255" t="s">
        <v>206</v>
      </c>
      <c r="C255" t="s">
        <v>214</v>
      </c>
      <c r="D255" s="20">
        <v>1500</v>
      </c>
      <c r="E255" t="s">
        <v>409</v>
      </c>
      <c r="F255" t="s">
        <v>334</v>
      </c>
      <c r="G255" t="s">
        <v>25</v>
      </c>
      <c r="H255" t="s">
        <v>337</v>
      </c>
      <c r="I255">
        <v>5</v>
      </c>
      <c r="J255">
        <v>2</v>
      </c>
      <c r="K255" s="20">
        <v>1500</v>
      </c>
      <c r="L255" t="s">
        <v>268</v>
      </c>
      <c r="M255" t="s">
        <v>70</v>
      </c>
      <c r="N255" t="s">
        <v>26</v>
      </c>
    </row>
    <row r="256" spans="1:14" x14ac:dyDescent="0.3">
      <c r="A256" s="8">
        <v>45807</v>
      </c>
      <c r="B256" t="s">
        <v>206</v>
      </c>
      <c r="C256" t="s">
        <v>345</v>
      </c>
      <c r="D256" s="20">
        <v>2000</v>
      </c>
      <c r="E256" t="s">
        <v>385</v>
      </c>
      <c r="F256" t="s">
        <v>334</v>
      </c>
      <c r="G256" t="s">
        <v>25</v>
      </c>
      <c r="H256" t="s">
        <v>337</v>
      </c>
      <c r="I256">
        <v>5</v>
      </c>
      <c r="J256">
        <v>2</v>
      </c>
      <c r="K256" s="20">
        <v>2000</v>
      </c>
      <c r="L256" t="s">
        <v>268</v>
      </c>
      <c r="M256" t="s">
        <v>54</v>
      </c>
      <c r="N256" t="s">
        <v>26</v>
      </c>
    </row>
    <row r="257" spans="1:14" x14ac:dyDescent="0.3">
      <c r="A257" s="8">
        <v>45807</v>
      </c>
      <c r="B257" t="s">
        <v>206</v>
      </c>
      <c r="C257" t="s">
        <v>353</v>
      </c>
      <c r="D257" s="20">
        <v>20000</v>
      </c>
      <c r="E257" t="s">
        <v>300</v>
      </c>
      <c r="F257" t="s">
        <v>333</v>
      </c>
      <c r="G257" t="s">
        <v>130</v>
      </c>
      <c r="H257" t="s">
        <v>336</v>
      </c>
      <c r="I257">
        <v>5</v>
      </c>
      <c r="J257">
        <v>2</v>
      </c>
      <c r="K257" s="20">
        <v>-20000</v>
      </c>
      <c r="L257" t="s">
        <v>269</v>
      </c>
      <c r="M257" t="s">
        <v>131</v>
      </c>
      <c r="N257" t="s">
        <v>103</v>
      </c>
    </row>
    <row r="258" spans="1:14" x14ac:dyDescent="0.3">
      <c r="A258" s="8">
        <v>45807</v>
      </c>
      <c r="B258" t="s">
        <v>206</v>
      </c>
      <c r="C258" t="s">
        <v>354</v>
      </c>
      <c r="D258" s="20">
        <v>10000</v>
      </c>
      <c r="E258" t="s">
        <v>390</v>
      </c>
      <c r="F258" t="s">
        <v>334</v>
      </c>
      <c r="G258" t="s">
        <v>9</v>
      </c>
      <c r="H258" t="s">
        <v>337</v>
      </c>
      <c r="I258">
        <v>5</v>
      </c>
      <c r="J258">
        <v>2</v>
      </c>
      <c r="K258" s="20">
        <v>10000</v>
      </c>
      <c r="L258" t="s">
        <v>268</v>
      </c>
      <c r="M258" t="s">
        <v>127</v>
      </c>
      <c r="N258" t="s">
        <v>126</v>
      </c>
    </row>
    <row r="259" spans="1:14" x14ac:dyDescent="0.3">
      <c r="A259" s="8">
        <v>45807</v>
      </c>
      <c r="B259" t="s">
        <v>206</v>
      </c>
      <c r="C259" t="s">
        <v>355</v>
      </c>
      <c r="D259" s="20">
        <v>3000</v>
      </c>
      <c r="E259" t="s">
        <v>389</v>
      </c>
      <c r="F259" t="s">
        <v>334</v>
      </c>
      <c r="G259" t="s">
        <v>9</v>
      </c>
      <c r="H259" t="s">
        <v>337</v>
      </c>
      <c r="I259">
        <v>5</v>
      </c>
      <c r="J259">
        <v>2</v>
      </c>
      <c r="K259" s="20">
        <v>3000</v>
      </c>
      <c r="L259" t="s">
        <v>268</v>
      </c>
      <c r="M259" t="s">
        <v>128</v>
      </c>
      <c r="N259" t="s">
        <v>126</v>
      </c>
    </row>
    <row r="260" spans="1:14" x14ac:dyDescent="0.3">
      <c r="A260" s="8">
        <v>45807</v>
      </c>
      <c r="B260" t="s">
        <v>206</v>
      </c>
      <c r="C260" t="s">
        <v>356</v>
      </c>
      <c r="D260" s="20">
        <v>15000</v>
      </c>
      <c r="E260" t="s">
        <v>301</v>
      </c>
      <c r="F260" t="s">
        <v>333</v>
      </c>
      <c r="G260" t="s">
        <v>133</v>
      </c>
      <c r="H260" t="s">
        <v>336</v>
      </c>
      <c r="I260">
        <v>5</v>
      </c>
      <c r="J260">
        <v>2</v>
      </c>
      <c r="K260" s="20">
        <v>-15000</v>
      </c>
      <c r="L260" t="s">
        <v>269</v>
      </c>
      <c r="M260" t="s">
        <v>134</v>
      </c>
      <c r="N260" t="s">
        <v>132</v>
      </c>
    </row>
    <row r="261" spans="1:14" x14ac:dyDescent="0.3">
      <c r="A261" s="8">
        <v>45807</v>
      </c>
      <c r="B261" t="s">
        <v>206</v>
      </c>
      <c r="C261" t="s">
        <v>357</v>
      </c>
      <c r="D261" s="20">
        <v>22037.96</v>
      </c>
      <c r="E261" t="s">
        <v>302</v>
      </c>
      <c r="F261" t="s">
        <v>333</v>
      </c>
      <c r="G261" t="s">
        <v>117</v>
      </c>
      <c r="H261" t="s">
        <v>336</v>
      </c>
      <c r="I261">
        <v>5</v>
      </c>
      <c r="J261">
        <v>2</v>
      </c>
      <c r="K261" s="20">
        <v>-22037.96</v>
      </c>
      <c r="L261" t="s">
        <v>269</v>
      </c>
      <c r="M261" t="s">
        <v>118</v>
      </c>
      <c r="N261" t="s">
        <v>103</v>
      </c>
    </row>
    <row r="262" spans="1:14" x14ac:dyDescent="0.3">
      <c r="A262" s="8">
        <v>45807</v>
      </c>
      <c r="B262" t="s">
        <v>206</v>
      </c>
      <c r="C262" t="s">
        <v>360</v>
      </c>
      <c r="D262" s="20">
        <v>10500</v>
      </c>
      <c r="E262" t="s">
        <v>305</v>
      </c>
      <c r="F262" t="s">
        <v>333</v>
      </c>
      <c r="G262" t="s">
        <v>11</v>
      </c>
      <c r="H262" t="s">
        <v>336</v>
      </c>
      <c r="I262">
        <v>5</v>
      </c>
      <c r="J262">
        <v>2</v>
      </c>
      <c r="K262" s="20">
        <v>-10500</v>
      </c>
      <c r="L262" t="s">
        <v>269</v>
      </c>
      <c r="M262" t="s">
        <v>115</v>
      </c>
      <c r="N262" t="s">
        <v>103</v>
      </c>
    </row>
    <row r="263" spans="1:14" x14ac:dyDescent="0.3">
      <c r="A263" s="8">
        <v>45807</v>
      </c>
      <c r="B263" t="s">
        <v>206</v>
      </c>
      <c r="C263" t="s">
        <v>163</v>
      </c>
      <c r="D263" s="20">
        <v>3000</v>
      </c>
      <c r="E263" t="s">
        <v>377</v>
      </c>
      <c r="F263" t="s">
        <v>334</v>
      </c>
      <c r="G263" t="s">
        <v>25</v>
      </c>
      <c r="H263" t="s">
        <v>337</v>
      </c>
      <c r="I263">
        <v>5</v>
      </c>
      <c r="J263">
        <v>2</v>
      </c>
      <c r="K263" s="20">
        <v>3000</v>
      </c>
      <c r="L263" t="s">
        <v>268</v>
      </c>
      <c r="M263" t="s">
        <v>34</v>
      </c>
      <c r="N263" t="s">
        <v>26</v>
      </c>
    </row>
    <row r="264" spans="1:14" x14ac:dyDescent="0.3">
      <c r="A264" s="8">
        <v>45808</v>
      </c>
      <c r="B264" t="s">
        <v>206</v>
      </c>
      <c r="C264" t="s">
        <v>215</v>
      </c>
      <c r="D264" s="20">
        <v>1000</v>
      </c>
      <c r="E264" t="s">
        <v>410</v>
      </c>
      <c r="F264" t="s">
        <v>334</v>
      </c>
      <c r="G264" t="s">
        <v>25</v>
      </c>
      <c r="H264" t="s">
        <v>337</v>
      </c>
      <c r="I264">
        <v>5</v>
      </c>
      <c r="J264">
        <v>2</v>
      </c>
      <c r="K264" s="20">
        <v>1000</v>
      </c>
      <c r="L264" t="s">
        <v>268</v>
      </c>
      <c r="M264" t="s">
        <v>28</v>
      </c>
      <c r="N264" t="s">
        <v>26</v>
      </c>
    </row>
    <row r="265" spans="1:14" x14ac:dyDescent="0.3">
      <c r="A265" s="8">
        <v>45808</v>
      </c>
      <c r="B265" t="s">
        <v>206</v>
      </c>
      <c r="C265" t="s">
        <v>213</v>
      </c>
      <c r="D265" s="20">
        <v>2500</v>
      </c>
      <c r="E265" t="s">
        <v>272</v>
      </c>
      <c r="F265" t="s">
        <v>333</v>
      </c>
      <c r="G265" t="s">
        <v>136</v>
      </c>
      <c r="H265" t="s">
        <v>336</v>
      </c>
      <c r="I265">
        <v>5</v>
      </c>
      <c r="J265">
        <v>2</v>
      </c>
      <c r="K265" s="20">
        <v>-2500</v>
      </c>
      <c r="L265" t="s">
        <v>269</v>
      </c>
      <c r="M265" t="s">
        <v>137</v>
      </c>
      <c r="N265" t="s">
        <v>135</v>
      </c>
    </row>
    <row r="266" spans="1:14" x14ac:dyDescent="0.3">
      <c r="A266" s="8">
        <v>45808</v>
      </c>
      <c r="B266" t="s">
        <v>206</v>
      </c>
      <c r="C266" t="s">
        <v>155</v>
      </c>
      <c r="D266" s="20">
        <v>5000</v>
      </c>
      <c r="E266" t="s">
        <v>274</v>
      </c>
      <c r="F266" t="s">
        <v>333</v>
      </c>
      <c r="G266" t="s">
        <v>25</v>
      </c>
      <c r="H266" t="s">
        <v>336</v>
      </c>
      <c r="I266">
        <v>5</v>
      </c>
      <c r="J266">
        <v>2</v>
      </c>
      <c r="K266" s="20">
        <v>-5000</v>
      </c>
      <c r="L266" t="s">
        <v>269</v>
      </c>
      <c r="M266" t="s">
        <v>29</v>
      </c>
      <c r="N266" t="s">
        <v>26</v>
      </c>
    </row>
    <row r="267" spans="1:14" x14ac:dyDescent="0.3">
      <c r="A267" s="8">
        <v>45808</v>
      </c>
      <c r="B267" t="s">
        <v>206</v>
      </c>
      <c r="C267" t="s">
        <v>164</v>
      </c>
      <c r="D267" s="20">
        <v>1540</v>
      </c>
      <c r="E267" t="s">
        <v>379</v>
      </c>
      <c r="F267" t="s">
        <v>334</v>
      </c>
      <c r="G267" t="s">
        <v>25</v>
      </c>
      <c r="H267" t="s">
        <v>337</v>
      </c>
      <c r="I267">
        <v>5</v>
      </c>
      <c r="J267">
        <v>2</v>
      </c>
      <c r="K267" s="20">
        <v>1540</v>
      </c>
      <c r="L267" t="s">
        <v>268</v>
      </c>
      <c r="M267" t="s">
        <v>321</v>
      </c>
      <c r="N267" t="s">
        <v>26</v>
      </c>
    </row>
    <row r="268" spans="1:14" x14ac:dyDescent="0.3">
      <c r="A268" s="8">
        <v>45809</v>
      </c>
      <c r="B268" t="s">
        <v>216</v>
      </c>
      <c r="C268" t="s">
        <v>148</v>
      </c>
      <c r="D268" s="20">
        <v>5515</v>
      </c>
      <c r="E268" t="s">
        <v>324</v>
      </c>
      <c r="F268" t="s">
        <v>333</v>
      </c>
      <c r="G268" t="s">
        <v>139</v>
      </c>
      <c r="H268" t="s">
        <v>336</v>
      </c>
      <c r="I268">
        <v>6</v>
      </c>
      <c r="J268">
        <v>2</v>
      </c>
      <c r="K268" s="20">
        <v>-5515</v>
      </c>
      <c r="L268" t="s">
        <v>269</v>
      </c>
      <c r="M268" t="s">
        <v>322</v>
      </c>
      <c r="N268" t="s">
        <v>138</v>
      </c>
    </row>
    <row r="269" spans="1:14" x14ac:dyDescent="0.3">
      <c r="A269" s="8">
        <v>45809</v>
      </c>
      <c r="B269" t="s">
        <v>216</v>
      </c>
      <c r="C269" t="s">
        <v>195</v>
      </c>
      <c r="D269" s="20">
        <v>181</v>
      </c>
      <c r="E269" t="s">
        <v>328</v>
      </c>
      <c r="F269" t="s">
        <v>333</v>
      </c>
      <c r="G269" t="s">
        <v>319</v>
      </c>
      <c r="H269" t="s">
        <v>336</v>
      </c>
      <c r="I269">
        <v>6</v>
      </c>
      <c r="J269">
        <v>2</v>
      </c>
      <c r="K269" s="20">
        <v>-181</v>
      </c>
      <c r="L269" t="s">
        <v>269</v>
      </c>
      <c r="M269" t="s">
        <v>315</v>
      </c>
      <c r="N269" t="s">
        <v>90</v>
      </c>
    </row>
    <row r="270" spans="1:14" x14ac:dyDescent="0.3">
      <c r="A270" s="8">
        <v>45809</v>
      </c>
      <c r="B270" t="s">
        <v>216</v>
      </c>
      <c r="C270" t="s">
        <v>191</v>
      </c>
      <c r="D270" s="20">
        <v>1000</v>
      </c>
      <c r="E270" t="s">
        <v>397</v>
      </c>
      <c r="F270" t="s">
        <v>334</v>
      </c>
      <c r="G270" t="s">
        <v>25</v>
      </c>
      <c r="H270" t="s">
        <v>337</v>
      </c>
      <c r="I270">
        <v>6</v>
      </c>
      <c r="J270">
        <v>2</v>
      </c>
      <c r="K270" s="20">
        <v>1000</v>
      </c>
      <c r="L270" t="s">
        <v>268</v>
      </c>
      <c r="M270" t="s">
        <v>69</v>
      </c>
      <c r="N270" t="s">
        <v>26</v>
      </c>
    </row>
    <row r="271" spans="1:14" x14ac:dyDescent="0.3">
      <c r="A271" s="8">
        <v>45810</v>
      </c>
      <c r="B271" t="s">
        <v>216</v>
      </c>
      <c r="C271" t="s">
        <v>217</v>
      </c>
      <c r="D271" s="20">
        <v>1500</v>
      </c>
      <c r="E271" t="s">
        <v>286</v>
      </c>
      <c r="F271" t="s">
        <v>333</v>
      </c>
      <c r="G271" t="s">
        <v>25</v>
      </c>
      <c r="H271" t="s">
        <v>336</v>
      </c>
      <c r="I271">
        <v>6</v>
      </c>
      <c r="J271">
        <v>2</v>
      </c>
      <c r="K271" s="20">
        <v>-1500</v>
      </c>
      <c r="L271" t="s">
        <v>269</v>
      </c>
      <c r="M271" t="s">
        <v>36</v>
      </c>
      <c r="N271" t="s">
        <v>26</v>
      </c>
    </row>
    <row r="272" spans="1:14" x14ac:dyDescent="0.3">
      <c r="A272" s="8">
        <v>45812</v>
      </c>
      <c r="B272" t="s">
        <v>216</v>
      </c>
      <c r="C272" t="s">
        <v>219</v>
      </c>
      <c r="D272" s="20">
        <v>1000</v>
      </c>
      <c r="E272" t="s">
        <v>272</v>
      </c>
      <c r="F272" t="s">
        <v>333</v>
      </c>
      <c r="G272" t="s">
        <v>136</v>
      </c>
      <c r="H272" t="s">
        <v>336</v>
      </c>
      <c r="I272">
        <v>6</v>
      </c>
      <c r="J272">
        <v>2</v>
      </c>
      <c r="K272" s="20">
        <v>-1000</v>
      </c>
      <c r="L272" t="s">
        <v>269</v>
      </c>
      <c r="M272" t="s">
        <v>137</v>
      </c>
      <c r="N272" t="s">
        <v>135</v>
      </c>
    </row>
    <row r="273" spans="1:14" x14ac:dyDescent="0.3">
      <c r="A273" s="8">
        <v>45812</v>
      </c>
      <c r="B273" t="s">
        <v>216</v>
      </c>
      <c r="C273" t="s">
        <v>218</v>
      </c>
      <c r="D273" s="20">
        <v>1015</v>
      </c>
      <c r="E273" t="s">
        <v>287</v>
      </c>
      <c r="F273" t="s">
        <v>333</v>
      </c>
      <c r="G273" t="s">
        <v>25</v>
      </c>
      <c r="H273" t="s">
        <v>336</v>
      </c>
      <c r="I273">
        <v>6</v>
      </c>
      <c r="J273">
        <v>2</v>
      </c>
      <c r="K273" s="20">
        <v>-1015</v>
      </c>
      <c r="L273" t="s">
        <v>269</v>
      </c>
      <c r="M273" t="s">
        <v>42</v>
      </c>
      <c r="N273" t="s">
        <v>26</v>
      </c>
    </row>
    <row r="274" spans="1:14" x14ac:dyDescent="0.3">
      <c r="A274" s="8">
        <v>45813</v>
      </c>
      <c r="B274" t="s">
        <v>216</v>
      </c>
      <c r="C274" t="s">
        <v>191</v>
      </c>
      <c r="D274" s="20">
        <v>500</v>
      </c>
      <c r="E274" t="s">
        <v>397</v>
      </c>
      <c r="F274" t="s">
        <v>334</v>
      </c>
      <c r="G274" t="s">
        <v>25</v>
      </c>
      <c r="H274" t="s">
        <v>337</v>
      </c>
      <c r="I274">
        <v>6</v>
      </c>
      <c r="J274">
        <v>2</v>
      </c>
      <c r="K274" s="20">
        <v>500</v>
      </c>
      <c r="L274" t="s">
        <v>268</v>
      </c>
      <c r="M274" t="s">
        <v>69</v>
      </c>
      <c r="N274" t="s">
        <v>26</v>
      </c>
    </row>
    <row r="275" spans="1:14" x14ac:dyDescent="0.3">
      <c r="A275" s="8">
        <v>45813</v>
      </c>
      <c r="B275" t="s">
        <v>216</v>
      </c>
      <c r="C275" t="s">
        <v>221</v>
      </c>
      <c r="D275" s="20">
        <v>850</v>
      </c>
      <c r="E275" t="s">
        <v>272</v>
      </c>
      <c r="F275" t="s">
        <v>333</v>
      </c>
      <c r="G275" t="s">
        <v>136</v>
      </c>
      <c r="H275" t="s">
        <v>336</v>
      </c>
      <c r="I275">
        <v>6</v>
      </c>
      <c r="J275">
        <v>2</v>
      </c>
      <c r="K275" s="20">
        <v>-850</v>
      </c>
      <c r="L275" t="s">
        <v>269</v>
      </c>
      <c r="M275" t="s">
        <v>137</v>
      </c>
      <c r="N275" t="s">
        <v>135</v>
      </c>
    </row>
    <row r="276" spans="1:14" x14ac:dyDescent="0.3">
      <c r="A276" s="8">
        <v>45813</v>
      </c>
      <c r="B276" t="s">
        <v>216</v>
      </c>
      <c r="C276" t="s">
        <v>220</v>
      </c>
      <c r="D276" s="20">
        <v>2000</v>
      </c>
      <c r="E276" t="s">
        <v>288</v>
      </c>
      <c r="F276" t="s">
        <v>333</v>
      </c>
      <c r="G276" t="s">
        <v>25</v>
      </c>
      <c r="H276" t="s">
        <v>336</v>
      </c>
      <c r="I276">
        <v>6</v>
      </c>
      <c r="J276">
        <v>2</v>
      </c>
      <c r="K276" s="20">
        <v>-2000</v>
      </c>
      <c r="L276" t="s">
        <v>269</v>
      </c>
      <c r="M276" t="s">
        <v>79</v>
      </c>
      <c r="N276" t="s">
        <v>26</v>
      </c>
    </row>
    <row r="277" spans="1:14" x14ac:dyDescent="0.3">
      <c r="A277" s="8">
        <v>45813</v>
      </c>
      <c r="B277" t="s">
        <v>216</v>
      </c>
      <c r="C277" t="s">
        <v>175</v>
      </c>
      <c r="D277" s="20">
        <v>3000</v>
      </c>
      <c r="E277" t="s">
        <v>372</v>
      </c>
      <c r="F277" t="s">
        <v>334</v>
      </c>
      <c r="G277" t="s">
        <v>25</v>
      </c>
      <c r="H277" t="s">
        <v>337</v>
      </c>
      <c r="I277">
        <v>6</v>
      </c>
      <c r="J277">
        <v>2</v>
      </c>
      <c r="K277" s="20">
        <v>3000</v>
      </c>
      <c r="L277" t="s">
        <v>268</v>
      </c>
      <c r="M277" t="s">
        <v>43</v>
      </c>
      <c r="N277" t="s">
        <v>26</v>
      </c>
    </row>
    <row r="278" spans="1:14" x14ac:dyDescent="0.3">
      <c r="A278" s="8">
        <v>45815</v>
      </c>
      <c r="B278" t="s">
        <v>216</v>
      </c>
      <c r="C278" t="s">
        <v>181</v>
      </c>
      <c r="D278" s="20">
        <v>1500</v>
      </c>
      <c r="E278" t="s">
        <v>382</v>
      </c>
      <c r="F278" t="s">
        <v>334</v>
      </c>
      <c r="G278" t="s">
        <v>25</v>
      </c>
      <c r="H278" t="s">
        <v>337</v>
      </c>
      <c r="I278">
        <v>6</v>
      </c>
      <c r="J278">
        <v>2</v>
      </c>
      <c r="K278" s="20">
        <v>1500</v>
      </c>
      <c r="L278" t="s">
        <v>268</v>
      </c>
      <c r="M278" t="s">
        <v>56</v>
      </c>
      <c r="N278" t="s">
        <v>26</v>
      </c>
    </row>
    <row r="279" spans="1:14" x14ac:dyDescent="0.3">
      <c r="A279" s="8">
        <v>45815</v>
      </c>
      <c r="B279" t="s">
        <v>216</v>
      </c>
      <c r="C279" t="s">
        <v>167</v>
      </c>
      <c r="D279" s="20">
        <v>1800</v>
      </c>
      <c r="E279" t="s">
        <v>365</v>
      </c>
      <c r="F279" t="s">
        <v>334</v>
      </c>
      <c r="G279" t="s">
        <v>25</v>
      </c>
      <c r="H279" t="s">
        <v>337</v>
      </c>
      <c r="I279">
        <v>6</v>
      </c>
      <c r="J279">
        <v>2</v>
      </c>
      <c r="K279" s="20">
        <v>1800</v>
      </c>
      <c r="L279" t="s">
        <v>268</v>
      </c>
      <c r="M279" t="s">
        <v>49</v>
      </c>
      <c r="N279" t="s">
        <v>26</v>
      </c>
    </row>
    <row r="280" spans="1:14" x14ac:dyDescent="0.3">
      <c r="A280" s="8">
        <v>45816</v>
      </c>
      <c r="B280" t="s">
        <v>216</v>
      </c>
      <c r="C280" t="s">
        <v>215</v>
      </c>
      <c r="D280" s="20">
        <v>1525</v>
      </c>
      <c r="E280" t="s">
        <v>289</v>
      </c>
      <c r="F280" t="s">
        <v>333</v>
      </c>
      <c r="G280" t="s">
        <v>25</v>
      </c>
      <c r="H280" t="s">
        <v>336</v>
      </c>
      <c r="I280">
        <v>6</v>
      </c>
      <c r="J280">
        <v>2</v>
      </c>
      <c r="K280" s="20">
        <v>-1525</v>
      </c>
      <c r="L280" t="s">
        <v>269</v>
      </c>
      <c r="M280" t="s">
        <v>28</v>
      </c>
      <c r="N280" t="s">
        <v>26</v>
      </c>
    </row>
    <row r="281" spans="1:14" x14ac:dyDescent="0.3">
      <c r="A281" s="8">
        <v>45816</v>
      </c>
      <c r="B281" t="s">
        <v>216</v>
      </c>
      <c r="C281" t="s">
        <v>227</v>
      </c>
      <c r="D281" s="20">
        <v>4000</v>
      </c>
      <c r="E281" t="s">
        <v>411</v>
      </c>
      <c r="F281" t="s">
        <v>334</v>
      </c>
      <c r="G281" t="s">
        <v>25</v>
      </c>
      <c r="H281" t="s">
        <v>337</v>
      </c>
      <c r="I281">
        <v>6</v>
      </c>
      <c r="J281">
        <v>2</v>
      </c>
      <c r="K281" s="20">
        <v>4000</v>
      </c>
      <c r="L281" t="s">
        <v>268</v>
      </c>
      <c r="M281" t="s">
        <v>35</v>
      </c>
      <c r="N281" t="s">
        <v>26</v>
      </c>
    </row>
    <row r="282" spans="1:14" x14ac:dyDescent="0.3">
      <c r="A282" s="8">
        <v>45817</v>
      </c>
      <c r="B282" t="s">
        <v>216</v>
      </c>
      <c r="C282" t="s">
        <v>222</v>
      </c>
      <c r="D282" s="20">
        <v>200</v>
      </c>
      <c r="E282" t="s">
        <v>272</v>
      </c>
      <c r="F282" t="s">
        <v>333</v>
      </c>
      <c r="G282" t="s">
        <v>136</v>
      </c>
      <c r="H282" t="s">
        <v>336</v>
      </c>
      <c r="I282">
        <v>6</v>
      </c>
      <c r="J282">
        <v>2</v>
      </c>
      <c r="K282" s="20">
        <v>-200</v>
      </c>
      <c r="L282" t="s">
        <v>269</v>
      </c>
      <c r="M282" t="s">
        <v>137</v>
      </c>
      <c r="N282" t="s">
        <v>135</v>
      </c>
    </row>
    <row r="283" spans="1:14" x14ac:dyDescent="0.3">
      <c r="A283" s="8">
        <v>45821</v>
      </c>
      <c r="B283" t="s">
        <v>216</v>
      </c>
      <c r="C283" t="s">
        <v>348</v>
      </c>
      <c r="D283" s="20">
        <v>1010</v>
      </c>
      <c r="E283" t="s">
        <v>290</v>
      </c>
      <c r="F283" t="s">
        <v>333</v>
      </c>
      <c r="G283" t="s">
        <v>108</v>
      </c>
      <c r="H283" t="s">
        <v>336</v>
      </c>
      <c r="I283">
        <v>6</v>
      </c>
      <c r="J283">
        <v>2</v>
      </c>
      <c r="K283" s="20">
        <v>-1010</v>
      </c>
      <c r="L283" t="s">
        <v>269</v>
      </c>
      <c r="M283" t="s">
        <v>111</v>
      </c>
      <c r="N283" t="s">
        <v>335</v>
      </c>
    </row>
    <row r="284" spans="1:14" x14ac:dyDescent="0.3">
      <c r="A284" s="8">
        <v>45822</v>
      </c>
      <c r="B284" t="s">
        <v>216</v>
      </c>
      <c r="C284" t="s">
        <v>155</v>
      </c>
      <c r="D284" s="20">
        <v>3000</v>
      </c>
      <c r="E284" t="s">
        <v>376</v>
      </c>
      <c r="F284" t="s">
        <v>334</v>
      </c>
      <c r="G284" t="s">
        <v>25</v>
      </c>
      <c r="H284" t="s">
        <v>337</v>
      </c>
      <c r="I284">
        <v>6</v>
      </c>
      <c r="J284">
        <v>2</v>
      </c>
      <c r="K284" s="20">
        <v>3000</v>
      </c>
      <c r="L284" t="s">
        <v>268</v>
      </c>
      <c r="M284" t="s">
        <v>29</v>
      </c>
      <c r="N284" t="s">
        <v>26</v>
      </c>
    </row>
    <row r="285" spans="1:14" x14ac:dyDescent="0.3">
      <c r="A285" s="8">
        <v>45822</v>
      </c>
      <c r="B285" t="s">
        <v>216</v>
      </c>
      <c r="C285" t="s">
        <v>223</v>
      </c>
      <c r="D285" s="20">
        <v>2000</v>
      </c>
      <c r="E285" t="s">
        <v>272</v>
      </c>
      <c r="F285" t="s">
        <v>333</v>
      </c>
      <c r="G285" t="s">
        <v>136</v>
      </c>
      <c r="H285" t="s">
        <v>336</v>
      </c>
      <c r="I285">
        <v>6</v>
      </c>
      <c r="J285">
        <v>2</v>
      </c>
      <c r="K285" s="20">
        <v>-2000</v>
      </c>
      <c r="L285" t="s">
        <v>269</v>
      </c>
      <c r="M285" t="s">
        <v>137</v>
      </c>
      <c r="N285" t="s">
        <v>135</v>
      </c>
    </row>
    <row r="286" spans="1:14" x14ac:dyDescent="0.3">
      <c r="A286" s="8">
        <v>45823</v>
      </c>
      <c r="B286" t="s">
        <v>216</v>
      </c>
      <c r="C286" t="s">
        <v>177</v>
      </c>
      <c r="D286" s="20">
        <v>25000</v>
      </c>
      <c r="E286" t="s">
        <v>373</v>
      </c>
      <c r="F286" t="s">
        <v>334</v>
      </c>
      <c r="G286" t="s">
        <v>139</v>
      </c>
      <c r="H286" t="s">
        <v>337</v>
      </c>
      <c r="I286">
        <v>6</v>
      </c>
      <c r="J286">
        <v>2</v>
      </c>
      <c r="K286" s="20">
        <v>25000</v>
      </c>
      <c r="L286" t="s">
        <v>268</v>
      </c>
      <c r="M286" t="s">
        <v>141</v>
      </c>
      <c r="N286" t="s">
        <v>26</v>
      </c>
    </row>
    <row r="287" spans="1:14" x14ac:dyDescent="0.3">
      <c r="A287" s="8">
        <v>45823</v>
      </c>
      <c r="B287" t="s">
        <v>216</v>
      </c>
      <c r="C287" t="s">
        <v>218</v>
      </c>
      <c r="D287" s="20">
        <v>5015</v>
      </c>
      <c r="E287" t="s">
        <v>287</v>
      </c>
      <c r="F287" t="s">
        <v>333</v>
      </c>
      <c r="G287" t="s">
        <v>25</v>
      </c>
      <c r="H287" t="s">
        <v>336</v>
      </c>
      <c r="I287">
        <v>6</v>
      </c>
      <c r="J287">
        <v>2</v>
      </c>
      <c r="K287" s="20">
        <v>-5015</v>
      </c>
      <c r="L287" t="s">
        <v>269</v>
      </c>
      <c r="M287" t="s">
        <v>42</v>
      </c>
      <c r="N287" t="s">
        <v>26</v>
      </c>
    </row>
    <row r="288" spans="1:14" x14ac:dyDescent="0.3">
      <c r="A288" s="8">
        <v>45824</v>
      </c>
      <c r="B288" t="s">
        <v>216</v>
      </c>
      <c r="C288" t="s">
        <v>176</v>
      </c>
      <c r="D288" s="20">
        <v>5600</v>
      </c>
      <c r="E288" t="s">
        <v>375</v>
      </c>
      <c r="F288" t="s">
        <v>334</v>
      </c>
      <c r="G288" t="s">
        <v>25</v>
      </c>
      <c r="H288" t="s">
        <v>337</v>
      </c>
      <c r="I288">
        <v>6</v>
      </c>
      <c r="J288">
        <v>2</v>
      </c>
      <c r="K288" s="20">
        <v>5600</v>
      </c>
      <c r="L288" t="s">
        <v>268</v>
      </c>
      <c r="M288" t="s">
        <v>323</v>
      </c>
      <c r="N288" t="s">
        <v>26</v>
      </c>
    </row>
    <row r="289" spans="1:14" x14ac:dyDescent="0.3">
      <c r="A289" s="8">
        <v>45824</v>
      </c>
      <c r="B289" t="s">
        <v>216</v>
      </c>
      <c r="C289" t="s">
        <v>228</v>
      </c>
      <c r="D289" s="20">
        <v>1600</v>
      </c>
      <c r="E289" t="s">
        <v>412</v>
      </c>
      <c r="F289" t="s">
        <v>334</v>
      </c>
      <c r="G289" t="s">
        <v>25</v>
      </c>
      <c r="H289" t="s">
        <v>337</v>
      </c>
      <c r="I289">
        <v>6</v>
      </c>
      <c r="J289">
        <v>2</v>
      </c>
      <c r="K289" s="20">
        <v>1600</v>
      </c>
      <c r="L289" t="s">
        <v>268</v>
      </c>
      <c r="M289" t="s">
        <v>59</v>
      </c>
      <c r="N289" t="s">
        <v>26</v>
      </c>
    </row>
    <row r="290" spans="1:14" x14ac:dyDescent="0.3">
      <c r="A290" s="8">
        <v>45824</v>
      </c>
      <c r="B290" t="s">
        <v>216</v>
      </c>
      <c r="C290" t="s">
        <v>195</v>
      </c>
      <c r="D290" s="20">
        <v>181</v>
      </c>
      <c r="E290" t="s">
        <v>328</v>
      </c>
      <c r="F290" t="s">
        <v>333</v>
      </c>
      <c r="G290" t="s">
        <v>319</v>
      </c>
      <c r="H290" t="s">
        <v>336</v>
      </c>
      <c r="I290">
        <v>6</v>
      </c>
      <c r="J290">
        <v>2</v>
      </c>
      <c r="K290" s="20">
        <v>-181</v>
      </c>
      <c r="L290" t="s">
        <v>269</v>
      </c>
      <c r="M290" t="s">
        <v>315</v>
      </c>
      <c r="N290" t="s">
        <v>90</v>
      </c>
    </row>
    <row r="291" spans="1:14" x14ac:dyDescent="0.3">
      <c r="A291" s="8">
        <v>45825</v>
      </c>
      <c r="B291" t="s">
        <v>216</v>
      </c>
      <c r="C291" t="s">
        <v>349</v>
      </c>
      <c r="D291" s="20">
        <v>8980</v>
      </c>
      <c r="E291" t="s">
        <v>413</v>
      </c>
      <c r="F291" t="s">
        <v>334</v>
      </c>
      <c r="G291" t="s">
        <v>89</v>
      </c>
      <c r="H291" t="s">
        <v>337</v>
      </c>
      <c r="I291">
        <v>6</v>
      </c>
      <c r="J291">
        <v>2</v>
      </c>
      <c r="K291" s="20">
        <v>8980</v>
      </c>
      <c r="L291" t="s">
        <v>268</v>
      </c>
      <c r="M291" t="s">
        <v>88</v>
      </c>
      <c r="N291" t="s">
        <v>26</v>
      </c>
    </row>
    <row r="292" spans="1:14" x14ac:dyDescent="0.3">
      <c r="A292" s="8">
        <v>45825</v>
      </c>
      <c r="B292" t="s">
        <v>216</v>
      </c>
      <c r="C292" t="s">
        <v>179</v>
      </c>
      <c r="D292" s="20">
        <v>2000</v>
      </c>
      <c r="E292" t="s">
        <v>378</v>
      </c>
      <c r="F292" t="s">
        <v>334</v>
      </c>
      <c r="G292" t="s">
        <v>25</v>
      </c>
      <c r="H292" t="s">
        <v>337</v>
      </c>
      <c r="I292">
        <v>6</v>
      </c>
      <c r="J292">
        <v>2</v>
      </c>
      <c r="K292" s="20">
        <v>2000</v>
      </c>
      <c r="L292" t="s">
        <v>268</v>
      </c>
      <c r="M292" t="s">
        <v>45</v>
      </c>
      <c r="N292" t="s">
        <v>26</v>
      </c>
    </row>
    <row r="293" spans="1:14" x14ac:dyDescent="0.3">
      <c r="A293" s="8">
        <v>45825</v>
      </c>
      <c r="B293" t="s">
        <v>216</v>
      </c>
      <c r="C293" t="s">
        <v>224</v>
      </c>
      <c r="D293" s="20">
        <v>1250</v>
      </c>
      <c r="E293" t="s">
        <v>272</v>
      </c>
      <c r="F293" t="s">
        <v>333</v>
      </c>
      <c r="G293" t="s">
        <v>136</v>
      </c>
      <c r="H293" t="s">
        <v>336</v>
      </c>
      <c r="I293">
        <v>6</v>
      </c>
      <c r="J293">
        <v>2</v>
      </c>
      <c r="K293" s="20">
        <v>-1250</v>
      </c>
      <c r="L293" t="s">
        <v>269</v>
      </c>
      <c r="M293" t="s">
        <v>137</v>
      </c>
      <c r="N293" t="s">
        <v>135</v>
      </c>
    </row>
    <row r="294" spans="1:14" x14ac:dyDescent="0.3">
      <c r="A294" s="8">
        <v>45825</v>
      </c>
      <c r="B294" t="s">
        <v>216</v>
      </c>
      <c r="C294" t="s">
        <v>202</v>
      </c>
      <c r="D294" s="20">
        <v>1500</v>
      </c>
      <c r="E294" t="s">
        <v>403</v>
      </c>
      <c r="F294" t="s">
        <v>334</v>
      </c>
      <c r="G294" t="s">
        <v>25</v>
      </c>
      <c r="H294" t="s">
        <v>337</v>
      </c>
      <c r="I294">
        <v>6</v>
      </c>
      <c r="J294">
        <v>2</v>
      </c>
      <c r="K294" s="20">
        <v>1500</v>
      </c>
      <c r="L294" t="s">
        <v>268</v>
      </c>
      <c r="M294" t="s">
        <v>80</v>
      </c>
      <c r="N294" t="s">
        <v>26</v>
      </c>
    </row>
    <row r="295" spans="1:14" x14ac:dyDescent="0.3">
      <c r="A295" s="8">
        <v>45825</v>
      </c>
      <c r="B295" t="s">
        <v>216</v>
      </c>
      <c r="C295" t="s">
        <v>148</v>
      </c>
      <c r="D295" s="20">
        <v>50015</v>
      </c>
      <c r="E295" t="s">
        <v>324</v>
      </c>
      <c r="F295" t="s">
        <v>333</v>
      </c>
      <c r="G295" t="s">
        <v>139</v>
      </c>
      <c r="H295" t="s">
        <v>336</v>
      </c>
      <c r="I295">
        <v>6</v>
      </c>
      <c r="J295">
        <v>2</v>
      </c>
      <c r="K295" s="20">
        <v>-50015</v>
      </c>
      <c r="L295" t="s">
        <v>269</v>
      </c>
      <c r="M295" t="s">
        <v>322</v>
      </c>
      <c r="N295" t="s">
        <v>138</v>
      </c>
    </row>
    <row r="296" spans="1:14" x14ac:dyDescent="0.3">
      <c r="A296" s="8">
        <v>45827</v>
      </c>
      <c r="B296" t="s">
        <v>216</v>
      </c>
      <c r="C296" t="s">
        <v>193</v>
      </c>
      <c r="D296" s="20">
        <v>3000</v>
      </c>
      <c r="E296" t="s">
        <v>398</v>
      </c>
      <c r="F296" t="s">
        <v>334</v>
      </c>
      <c r="G296" t="s">
        <v>25</v>
      </c>
      <c r="H296" t="s">
        <v>337</v>
      </c>
      <c r="I296">
        <v>6</v>
      </c>
      <c r="J296">
        <v>2</v>
      </c>
      <c r="K296" s="20">
        <v>3000</v>
      </c>
      <c r="L296" t="s">
        <v>268</v>
      </c>
      <c r="M296" t="s">
        <v>86</v>
      </c>
      <c r="N296" t="s">
        <v>26</v>
      </c>
    </row>
    <row r="297" spans="1:14" x14ac:dyDescent="0.3">
      <c r="A297" s="8">
        <v>45827</v>
      </c>
      <c r="B297" t="s">
        <v>216</v>
      </c>
      <c r="C297" t="s">
        <v>344</v>
      </c>
      <c r="D297" s="20">
        <v>1500</v>
      </c>
      <c r="E297" t="s">
        <v>280</v>
      </c>
      <c r="F297" t="s">
        <v>333</v>
      </c>
      <c r="G297" t="s">
        <v>10</v>
      </c>
      <c r="H297" t="s">
        <v>336</v>
      </c>
      <c r="I297">
        <v>6</v>
      </c>
      <c r="J297">
        <v>2</v>
      </c>
      <c r="K297" s="20">
        <v>-1500</v>
      </c>
      <c r="L297" t="s">
        <v>269</v>
      </c>
      <c r="M297" t="s">
        <v>4</v>
      </c>
      <c r="N297" t="s">
        <v>120</v>
      </c>
    </row>
    <row r="298" spans="1:14" x14ac:dyDescent="0.3">
      <c r="A298" s="8">
        <v>45827</v>
      </c>
      <c r="B298" t="s">
        <v>216</v>
      </c>
      <c r="C298" t="s">
        <v>343</v>
      </c>
      <c r="D298" s="20">
        <v>2730.83</v>
      </c>
      <c r="E298" t="s">
        <v>312</v>
      </c>
      <c r="F298" t="s">
        <v>333</v>
      </c>
      <c r="G298" t="s">
        <v>122</v>
      </c>
      <c r="H298" t="s">
        <v>336</v>
      </c>
      <c r="I298">
        <v>6</v>
      </c>
      <c r="J298">
        <v>2</v>
      </c>
      <c r="K298" s="20">
        <v>-2730.83</v>
      </c>
      <c r="L298" t="s">
        <v>269</v>
      </c>
      <c r="M298" t="s">
        <v>311</v>
      </c>
      <c r="N298" t="s">
        <v>121</v>
      </c>
    </row>
    <row r="299" spans="1:14" x14ac:dyDescent="0.3">
      <c r="A299" s="8">
        <v>45829</v>
      </c>
      <c r="B299" t="s">
        <v>216</v>
      </c>
      <c r="C299" t="s">
        <v>145</v>
      </c>
      <c r="D299" s="20">
        <v>400</v>
      </c>
      <c r="E299" t="s">
        <v>326</v>
      </c>
      <c r="F299" t="s">
        <v>333</v>
      </c>
      <c r="G299" t="s">
        <v>319</v>
      </c>
      <c r="H299" t="s">
        <v>336</v>
      </c>
      <c r="I299">
        <v>6</v>
      </c>
      <c r="J299">
        <v>2</v>
      </c>
      <c r="K299" s="20">
        <v>-400</v>
      </c>
      <c r="L299" t="s">
        <v>269</v>
      </c>
      <c r="M299" t="s">
        <v>318</v>
      </c>
      <c r="N299" t="s">
        <v>90</v>
      </c>
    </row>
    <row r="300" spans="1:14" x14ac:dyDescent="0.3">
      <c r="A300" s="8">
        <v>45833</v>
      </c>
      <c r="B300" t="s">
        <v>216</v>
      </c>
      <c r="C300" t="s">
        <v>152</v>
      </c>
      <c r="D300" s="20">
        <v>5000</v>
      </c>
      <c r="E300" t="s">
        <v>271</v>
      </c>
      <c r="F300" t="s">
        <v>333</v>
      </c>
      <c r="G300" t="s">
        <v>25</v>
      </c>
      <c r="H300" t="s">
        <v>336</v>
      </c>
      <c r="I300">
        <v>6</v>
      </c>
      <c r="J300">
        <v>2</v>
      </c>
      <c r="K300" s="20">
        <v>-5000</v>
      </c>
      <c r="L300" t="s">
        <v>269</v>
      </c>
      <c r="M300" t="s">
        <v>77</v>
      </c>
      <c r="N300" t="s">
        <v>26</v>
      </c>
    </row>
    <row r="301" spans="1:14" x14ac:dyDescent="0.3">
      <c r="A301" s="8">
        <v>45833</v>
      </c>
      <c r="B301" t="s">
        <v>216</v>
      </c>
      <c r="C301" t="s">
        <v>173</v>
      </c>
      <c r="D301" s="20">
        <v>1250</v>
      </c>
      <c r="E301" t="s">
        <v>400</v>
      </c>
      <c r="F301" t="s">
        <v>334</v>
      </c>
      <c r="G301" t="s">
        <v>25</v>
      </c>
      <c r="H301" t="s">
        <v>337</v>
      </c>
      <c r="I301">
        <v>6</v>
      </c>
      <c r="J301">
        <v>2</v>
      </c>
      <c r="K301" s="20">
        <v>1250</v>
      </c>
      <c r="L301" t="s">
        <v>268</v>
      </c>
      <c r="M301" t="s">
        <v>41</v>
      </c>
      <c r="N301" t="s">
        <v>26</v>
      </c>
    </row>
    <row r="302" spans="1:14" x14ac:dyDescent="0.3">
      <c r="A302" s="8">
        <v>45833</v>
      </c>
      <c r="B302" t="s">
        <v>216</v>
      </c>
      <c r="C302" t="s">
        <v>152</v>
      </c>
      <c r="D302" s="20">
        <v>6500</v>
      </c>
      <c r="E302" t="s">
        <v>386</v>
      </c>
      <c r="F302" t="s">
        <v>334</v>
      </c>
      <c r="G302" t="s">
        <v>25</v>
      </c>
      <c r="H302" t="s">
        <v>337</v>
      </c>
      <c r="I302">
        <v>6</v>
      </c>
      <c r="J302">
        <v>2</v>
      </c>
      <c r="K302" s="20">
        <v>6500</v>
      </c>
      <c r="L302" t="s">
        <v>268</v>
      </c>
      <c r="M302" t="s">
        <v>77</v>
      </c>
      <c r="N302" t="s">
        <v>26</v>
      </c>
    </row>
    <row r="303" spans="1:14" x14ac:dyDescent="0.3">
      <c r="A303" s="8">
        <v>45833</v>
      </c>
      <c r="B303" t="s">
        <v>216</v>
      </c>
      <c r="C303" t="s">
        <v>185</v>
      </c>
      <c r="D303" s="20">
        <v>2000</v>
      </c>
      <c r="E303" t="s">
        <v>281</v>
      </c>
      <c r="F303" t="s">
        <v>333</v>
      </c>
      <c r="G303" t="s">
        <v>105</v>
      </c>
      <c r="H303" t="s">
        <v>336</v>
      </c>
      <c r="I303">
        <v>6</v>
      </c>
      <c r="J303">
        <v>2</v>
      </c>
      <c r="K303" s="20">
        <v>-2000</v>
      </c>
      <c r="L303" t="s">
        <v>269</v>
      </c>
      <c r="M303" t="s">
        <v>142</v>
      </c>
      <c r="N303" t="s">
        <v>335</v>
      </c>
    </row>
    <row r="304" spans="1:14" x14ac:dyDescent="0.3">
      <c r="A304" s="8">
        <v>45835</v>
      </c>
      <c r="B304" t="s">
        <v>216</v>
      </c>
      <c r="C304" t="s">
        <v>229</v>
      </c>
      <c r="D304" s="20">
        <v>862</v>
      </c>
      <c r="E304" t="s">
        <v>414</v>
      </c>
      <c r="F304" t="s">
        <v>334</v>
      </c>
      <c r="G304" t="s">
        <v>25</v>
      </c>
      <c r="H304" t="s">
        <v>337</v>
      </c>
      <c r="I304">
        <v>6</v>
      </c>
      <c r="J304">
        <v>2</v>
      </c>
      <c r="K304" s="20">
        <v>862</v>
      </c>
      <c r="L304" t="s">
        <v>268</v>
      </c>
      <c r="M304" t="s">
        <v>83</v>
      </c>
      <c r="N304" t="s">
        <v>26</v>
      </c>
    </row>
    <row r="305" spans="1:14" x14ac:dyDescent="0.3">
      <c r="A305" s="8">
        <v>45836</v>
      </c>
      <c r="B305" t="s">
        <v>216</v>
      </c>
      <c r="C305" t="s">
        <v>225</v>
      </c>
      <c r="D305" s="20">
        <v>415</v>
      </c>
      <c r="E305" t="s">
        <v>272</v>
      </c>
      <c r="F305" t="s">
        <v>333</v>
      </c>
      <c r="G305" t="s">
        <v>136</v>
      </c>
      <c r="H305" t="s">
        <v>336</v>
      </c>
      <c r="I305">
        <v>6</v>
      </c>
      <c r="J305">
        <v>2</v>
      </c>
      <c r="K305" s="20">
        <v>-415</v>
      </c>
      <c r="L305" t="s">
        <v>269</v>
      </c>
      <c r="M305" t="s">
        <v>137</v>
      </c>
      <c r="N305" t="s">
        <v>135</v>
      </c>
    </row>
    <row r="306" spans="1:14" x14ac:dyDescent="0.3">
      <c r="A306" s="8">
        <v>45838</v>
      </c>
      <c r="B306" t="s">
        <v>216</v>
      </c>
      <c r="C306" t="s">
        <v>357</v>
      </c>
      <c r="D306" s="20">
        <v>17064.830000000002</v>
      </c>
      <c r="E306" t="s">
        <v>302</v>
      </c>
      <c r="F306" t="s">
        <v>333</v>
      </c>
      <c r="G306" t="s">
        <v>117</v>
      </c>
      <c r="H306" t="s">
        <v>336</v>
      </c>
      <c r="I306">
        <v>6</v>
      </c>
      <c r="J306">
        <v>2</v>
      </c>
      <c r="K306" s="20">
        <v>-17064.830000000002</v>
      </c>
      <c r="L306" t="s">
        <v>269</v>
      </c>
      <c r="M306" t="s">
        <v>118</v>
      </c>
      <c r="N306" t="s">
        <v>103</v>
      </c>
    </row>
    <row r="307" spans="1:14" x14ac:dyDescent="0.3">
      <c r="A307" s="8">
        <v>45838</v>
      </c>
      <c r="B307" t="s">
        <v>216</v>
      </c>
      <c r="C307" t="s">
        <v>361</v>
      </c>
      <c r="D307" s="20">
        <v>8950</v>
      </c>
      <c r="E307" t="s">
        <v>306</v>
      </c>
      <c r="F307" t="s">
        <v>333</v>
      </c>
      <c r="G307" t="s">
        <v>124</v>
      </c>
      <c r="H307" t="s">
        <v>336</v>
      </c>
      <c r="I307">
        <v>6</v>
      </c>
      <c r="J307">
        <v>2</v>
      </c>
      <c r="K307" s="20">
        <v>-8950</v>
      </c>
      <c r="L307" t="s">
        <v>269</v>
      </c>
      <c r="M307" t="s">
        <v>125</v>
      </c>
      <c r="N307" t="s">
        <v>103</v>
      </c>
    </row>
    <row r="308" spans="1:14" x14ac:dyDescent="0.3">
      <c r="A308" s="8">
        <v>45838</v>
      </c>
      <c r="B308" t="s">
        <v>216</v>
      </c>
      <c r="C308" t="s">
        <v>355</v>
      </c>
      <c r="D308" s="20">
        <v>2000</v>
      </c>
      <c r="E308" t="s">
        <v>389</v>
      </c>
      <c r="F308" t="s">
        <v>334</v>
      </c>
      <c r="G308" t="s">
        <v>9</v>
      </c>
      <c r="H308" t="s">
        <v>337</v>
      </c>
      <c r="I308">
        <v>6</v>
      </c>
      <c r="J308">
        <v>2</v>
      </c>
      <c r="K308" s="20">
        <v>2000</v>
      </c>
      <c r="L308" t="s">
        <v>268</v>
      </c>
      <c r="M308" t="s">
        <v>128</v>
      </c>
      <c r="N308" t="s">
        <v>126</v>
      </c>
    </row>
    <row r="309" spans="1:14" x14ac:dyDescent="0.3">
      <c r="A309" s="8">
        <v>45838</v>
      </c>
      <c r="B309" t="s">
        <v>216</v>
      </c>
      <c r="C309" t="s">
        <v>354</v>
      </c>
      <c r="D309" s="20">
        <v>10000</v>
      </c>
      <c r="E309" t="s">
        <v>390</v>
      </c>
      <c r="F309" t="s">
        <v>334</v>
      </c>
      <c r="G309" t="s">
        <v>9</v>
      </c>
      <c r="H309" t="s">
        <v>337</v>
      </c>
      <c r="I309">
        <v>6</v>
      </c>
      <c r="J309">
        <v>2</v>
      </c>
      <c r="K309" s="20">
        <v>10000</v>
      </c>
      <c r="L309" t="s">
        <v>268</v>
      </c>
      <c r="M309" t="s">
        <v>127</v>
      </c>
      <c r="N309" t="s">
        <v>126</v>
      </c>
    </row>
    <row r="310" spans="1:14" x14ac:dyDescent="0.3">
      <c r="A310" s="8">
        <v>45838</v>
      </c>
      <c r="B310" t="s">
        <v>216</v>
      </c>
      <c r="C310" t="s">
        <v>342</v>
      </c>
      <c r="D310" s="20">
        <v>6505</v>
      </c>
      <c r="E310" t="s">
        <v>273</v>
      </c>
      <c r="F310" t="s">
        <v>333</v>
      </c>
      <c r="G310" t="s">
        <v>98</v>
      </c>
      <c r="H310" t="s">
        <v>336</v>
      </c>
      <c r="I310">
        <v>6</v>
      </c>
      <c r="J310">
        <v>2</v>
      </c>
      <c r="K310" s="20">
        <v>-6505</v>
      </c>
      <c r="L310" t="s">
        <v>269</v>
      </c>
      <c r="M310" t="s">
        <v>116</v>
      </c>
      <c r="N310" t="s">
        <v>94</v>
      </c>
    </row>
    <row r="311" spans="1:14" x14ac:dyDescent="0.3">
      <c r="A311" s="8">
        <v>45838</v>
      </c>
      <c r="B311" t="s">
        <v>216</v>
      </c>
      <c r="C311" t="s">
        <v>226</v>
      </c>
      <c r="D311" s="20">
        <v>5000</v>
      </c>
      <c r="E311" t="s">
        <v>272</v>
      </c>
      <c r="F311" t="s">
        <v>333</v>
      </c>
      <c r="G311" t="s">
        <v>136</v>
      </c>
      <c r="H311" t="s">
        <v>336</v>
      </c>
      <c r="I311">
        <v>6</v>
      </c>
      <c r="J311">
        <v>2</v>
      </c>
      <c r="K311" s="20">
        <v>-5000</v>
      </c>
      <c r="L311" t="s">
        <v>269</v>
      </c>
      <c r="M311" t="s">
        <v>137</v>
      </c>
      <c r="N311" t="s">
        <v>135</v>
      </c>
    </row>
    <row r="312" spans="1:14" x14ac:dyDescent="0.3">
      <c r="A312" s="8">
        <v>45838</v>
      </c>
      <c r="B312" t="s">
        <v>216</v>
      </c>
      <c r="C312" t="s">
        <v>353</v>
      </c>
      <c r="D312" s="20">
        <v>20000</v>
      </c>
      <c r="E312" t="s">
        <v>300</v>
      </c>
      <c r="F312" t="s">
        <v>333</v>
      </c>
      <c r="G312" t="s">
        <v>130</v>
      </c>
      <c r="H312" t="s">
        <v>336</v>
      </c>
      <c r="I312">
        <v>6</v>
      </c>
      <c r="J312">
        <v>2</v>
      </c>
      <c r="K312" s="20">
        <v>-20000</v>
      </c>
      <c r="L312" t="s">
        <v>269</v>
      </c>
      <c r="M312" t="s">
        <v>131</v>
      </c>
      <c r="N312" t="s">
        <v>103</v>
      </c>
    </row>
    <row r="313" spans="1:14" x14ac:dyDescent="0.3">
      <c r="A313" s="8">
        <v>45838</v>
      </c>
      <c r="B313" t="s">
        <v>216</v>
      </c>
      <c r="C313" t="s">
        <v>177</v>
      </c>
      <c r="D313" s="20">
        <v>26000</v>
      </c>
      <c r="E313" t="s">
        <v>373</v>
      </c>
      <c r="F313" t="s">
        <v>334</v>
      </c>
      <c r="G313" t="s">
        <v>139</v>
      </c>
      <c r="H313" t="s">
        <v>337</v>
      </c>
      <c r="I313">
        <v>6</v>
      </c>
      <c r="J313">
        <v>2</v>
      </c>
      <c r="K313" s="20">
        <v>26000</v>
      </c>
      <c r="L313" t="s">
        <v>268</v>
      </c>
      <c r="M313" t="s">
        <v>141</v>
      </c>
      <c r="N313" t="s">
        <v>26</v>
      </c>
    </row>
    <row r="314" spans="1:14" x14ac:dyDescent="0.3">
      <c r="A314" s="8">
        <v>45838</v>
      </c>
      <c r="B314" t="s">
        <v>216</v>
      </c>
      <c r="C314" t="s">
        <v>155</v>
      </c>
      <c r="D314" s="20">
        <v>3000</v>
      </c>
      <c r="E314" t="s">
        <v>376</v>
      </c>
      <c r="F314" t="s">
        <v>334</v>
      </c>
      <c r="G314" t="s">
        <v>25</v>
      </c>
      <c r="H314" t="s">
        <v>337</v>
      </c>
      <c r="I314">
        <v>6</v>
      </c>
      <c r="J314">
        <v>2</v>
      </c>
      <c r="K314" s="20">
        <v>3000</v>
      </c>
      <c r="L314" t="s">
        <v>268</v>
      </c>
      <c r="M314" t="s">
        <v>29</v>
      </c>
      <c r="N314" t="s">
        <v>26</v>
      </c>
    </row>
    <row r="315" spans="1:14" x14ac:dyDescent="0.3">
      <c r="A315" s="8">
        <v>45838</v>
      </c>
      <c r="B315" t="s">
        <v>216</v>
      </c>
      <c r="C315" t="s">
        <v>156</v>
      </c>
      <c r="D315" s="20">
        <v>5000</v>
      </c>
      <c r="E315" t="s">
        <v>374</v>
      </c>
      <c r="F315" t="s">
        <v>334</v>
      </c>
      <c r="G315" t="s">
        <v>25</v>
      </c>
      <c r="H315" t="s">
        <v>337</v>
      </c>
      <c r="I315">
        <v>6</v>
      </c>
      <c r="J315">
        <v>2</v>
      </c>
      <c r="K315" s="20">
        <v>5000</v>
      </c>
      <c r="L315" t="s">
        <v>268</v>
      </c>
      <c r="M315" t="s">
        <v>75</v>
      </c>
      <c r="N315" t="s">
        <v>26</v>
      </c>
    </row>
    <row r="316" spans="1:14" x14ac:dyDescent="0.3">
      <c r="A316" s="8">
        <v>45838</v>
      </c>
      <c r="B316" t="s">
        <v>216</v>
      </c>
      <c r="C316" t="s">
        <v>356</v>
      </c>
      <c r="D316" s="20">
        <v>15000</v>
      </c>
      <c r="E316" t="s">
        <v>301</v>
      </c>
      <c r="F316" t="s">
        <v>333</v>
      </c>
      <c r="G316" t="s">
        <v>133</v>
      </c>
      <c r="H316" t="s">
        <v>336</v>
      </c>
      <c r="I316">
        <v>6</v>
      </c>
      <c r="J316">
        <v>2</v>
      </c>
      <c r="K316" s="20">
        <v>-15000</v>
      </c>
      <c r="L316" t="s">
        <v>269</v>
      </c>
      <c r="M316" t="s">
        <v>134</v>
      </c>
      <c r="N316" t="s">
        <v>132</v>
      </c>
    </row>
    <row r="317" spans="1:14" x14ac:dyDescent="0.3">
      <c r="A317" s="8">
        <v>45838</v>
      </c>
      <c r="B317" t="s">
        <v>216</v>
      </c>
      <c r="C317" t="s">
        <v>172</v>
      </c>
      <c r="D317" s="20">
        <v>7200</v>
      </c>
      <c r="E317" t="s">
        <v>370</v>
      </c>
      <c r="F317" t="s">
        <v>334</v>
      </c>
      <c r="G317" t="s">
        <v>25</v>
      </c>
      <c r="H317" t="s">
        <v>337</v>
      </c>
      <c r="I317">
        <v>6</v>
      </c>
      <c r="J317">
        <v>2</v>
      </c>
      <c r="K317" s="20">
        <v>7200</v>
      </c>
      <c r="L317" t="s">
        <v>268</v>
      </c>
      <c r="M317" t="s">
        <v>58</v>
      </c>
      <c r="N317" t="s">
        <v>26</v>
      </c>
    </row>
    <row r="318" spans="1:14" x14ac:dyDescent="0.3">
      <c r="A318" s="8">
        <v>45839</v>
      </c>
      <c r="B318" t="s">
        <v>230</v>
      </c>
      <c r="C318" t="s">
        <v>163</v>
      </c>
      <c r="D318" s="20">
        <v>3000</v>
      </c>
      <c r="E318" t="s">
        <v>377</v>
      </c>
      <c r="F318" t="s">
        <v>334</v>
      </c>
      <c r="G318" t="s">
        <v>25</v>
      </c>
      <c r="H318" t="s">
        <v>337</v>
      </c>
      <c r="I318">
        <v>7</v>
      </c>
      <c r="J318">
        <v>3</v>
      </c>
      <c r="K318" s="20">
        <v>3000</v>
      </c>
      <c r="L318" t="s">
        <v>268</v>
      </c>
      <c r="M318" t="s">
        <v>34</v>
      </c>
      <c r="N318" t="s">
        <v>26</v>
      </c>
    </row>
    <row r="319" spans="1:14" x14ac:dyDescent="0.3">
      <c r="A319" s="8">
        <v>45839</v>
      </c>
      <c r="B319" t="s">
        <v>230</v>
      </c>
      <c r="C319" t="s">
        <v>195</v>
      </c>
      <c r="D319" s="20">
        <v>181</v>
      </c>
      <c r="E319" t="s">
        <v>328</v>
      </c>
      <c r="F319" t="s">
        <v>333</v>
      </c>
      <c r="G319" t="s">
        <v>319</v>
      </c>
      <c r="H319" t="s">
        <v>336</v>
      </c>
      <c r="I319">
        <v>7</v>
      </c>
      <c r="J319">
        <v>3</v>
      </c>
      <c r="K319" s="20">
        <v>-181</v>
      </c>
      <c r="L319" t="s">
        <v>269</v>
      </c>
      <c r="M319" t="s">
        <v>315</v>
      </c>
      <c r="N319" t="s">
        <v>90</v>
      </c>
    </row>
    <row r="320" spans="1:14" x14ac:dyDescent="0.3">
      <c r="A320" s="8">
        <v>45839</v>
      </c>
      <c r="B320" t="s">
        <v>230</v>
      </c>
      <c r="C320" t="s">
        <v>148</v>
      </c>
      <c r="D320" s="20">
        <v>32015</v>
      </c>
      <c r="E320" t="s">
        <v>324</v>
      </c>
      <c r="F320" t="s">
        <v>333</v>
      </c>
      <c r="G320" t="s">
        <v>139</v>
      </c>
      <c r="H320" t="s">
        <v>336</v>
      </c>
      <c r="I320">
        <v>7</v>
      </c>
      <c r="J320">
        <v>3</v>
      </c>
      <c r="K320" s="20">
        <v>-32015</v>
      </c>
      <c r="L320" t="s">
        <v>269</v>
      </c>
      <c r="M320" t="s">
        <v>322</v>
      </c>
      <c r="N320" t="s">
        <v>138</v>
      </c>
    </row>
    <row r="321" spans="1:14" x14ac:dyDescent="0.3">
      <c r="A321" s="8">
        <v>45840</v>
      </c>
      <c r="B321" t="s">
        <v>230</v>
      </c>
      <c r="C321" t="s">
        <v>232</v>
      </c>
      <c r="D321" s="20">
        <v>5000</v>
      </c>
      <c r="E321" t="s">
        <v>272</v>
      </c>
      <c r="F321" t="s">
        <v>333</v>
      </c>
      <c r="G321" t="s">
        <v>136</v>
      </c>
      <c r="H321" t="s">
        <v>336</v>
      </c>
      <c r="I321">
        <v>7</v>
      </c>
      <c r="J321">
        <v>3</v>
      </c>
      <c r="K321" s="20">
        <v>-5000</v>
      </c>
      <c r="L321" t="s">
        <v>269</v>
      </c>
      <c r="M321" t="s">
        <v>137</v>
      </c>
      <c r="N321" t="s">
        <v>135</v>
      </c>
    </row>
    <row r="322" spans="1:14" x14ac:dyDescent="0.3">
      <c r="A322" s="8">
        <v>45840</v>
      </c>
      <c r="B322" t="s">
        <v>230</v>
      </c>
      <c r="C322" t="s">
        <v>233</v>
      </c>
      <c r="D322" s="20">
        <v>5015</v>
      </c>
      <c r="E322" t="s">
        <v>291</v>
      </c>
      <c r="F322" t="s">
        <v>333</v>
      </c>
      <c r="G322" t="s">
        <v>25</v>
      </c>
      <c r="H322" t="s">
        <v>336</v>
      </c>
      <c r="I322">
        <v>7</v>
      </c>
      <c r="J322">
        <v>3</v>
      </c>
      <c r="K322" s="20">
        <v>-5015</v>
      </c>
      <c r="L322" t="s">
        <v>269</v>
      </c>
      <c r="M322" t="s">
        <v>51</v>
      </c>
      <c r="N322" t="s">
        <v>26</v>
      </c>
    </row>
    <row r="323" spans="1:14" x14ac:dyDescent="0.3">
      <c r="A323" s="8">
        <v>45840</v>
      </c>
      <c r="B323" t="s">
        <v>230</v>
      </c>
      <c r="C323" t="s">
        <v>231</v>
      </c>
      <c r="D323" s="20">
        <v>5000</v>
      </c>
      <c r="E323" t="s">
        <v>272</v>
      </c>
      <c r="F323" t="s">
        <v>333</v>
      </c>
      <c r="G323" t="s">
        <v>136</v>
      </c>
      <c r="H323" t="s">
        <v>336</v>
      </c>
      <c r="I323">
        <v>7</v>
      </c>
      <c r="J323">
        <v>3</v>
      </c>
      <c r="K323" s="20">
        <v>-5000</v>
      </c>
      <c r="L323" t="s">
        <v>269</v>
      </c>
      <c r="M323" t="s">
        <v>137</v>
      </c>
      <c r="N323" t="s">
        <v>135</v>
      </c>
    </row>
    <row r="324" spans="1:14" x14ac:dyDescent="0.3">
      <c r="A324" s="8">
        <v>45841</v>
      </c>
      <c r="B324" t="s">
        <v>230</v>
      </c>
      <c r="C324" t="s">
        <v>228</v>
      </c>
      <c r="D324" s="20">
        <v>800</v>
      </c>
      <c r="E324" t="s">
        <v>412</v>
      </c>
      <c r="F324" t="s">
        <v>334</v>
      </c>
      <c r="G324" t="s">
        <v>25</v>
      </c>
      <c r="H324" t="s">
        <v>337</v>
      </c>
      <c r="I324">
        <v>7</v>
      </c>
      <c r="J324">
        <v>3</v>
      </c>
      <c r="K324" s="20">
        <v>800</v>
      </c>
      <c r="L324" t="s">
        <v>268</v>
      </c>
      <c r="M324" t="s">
        <v>59</v>
      </c>
      <c r="N324" t="s">
        <v>26</v>
      </c>
    </row>
    <row r="325" spans="1:14" x14ac:dyDescent="0.3">
      <c r="A325" s="8">
        <v>45842</v>
      </c>
      <c r="B325" t="s">
        <v>230</v>
      </c>
      <c r="C325" t="s">
        <v>167</v>
      </c>
      <c r="D325" s="20">
        <v>1800</v>
      </c>
      <c r="E325" t="s">
        <v>365</v>
      </c>
      <c r="F325" t="s">
        <v>334</v>
      </c>
      <c r="G325" t="s">
        <v>25</v>
      </c>
      <c r="H325" t="s">
        <v>337</v>
      </c>
      <c r="I325">
        <v>7</v>
      </c>
      <c r="J325">
        <v>3</v>
      </c>
      <c r="K325" s="20">
        <v>1800</v>
      </c>
      <c r="L325" t="s">
        <v>268</v>
      </c>
      <c r="M325" t="s">
        <v>49</v>
      </c>
      <c r="N325" t="s">
        <v>26</v>
      </c>
    </row>
    <row r="326" spans="1:14" x14ac:dyDescent="0.3">
      <c r="A326" s="8">
        <v>45843</v>
      </c>
      <c r="B326" t="s">
        <v>230</v>
      </c>
      <c r="C326" t="s">
        <v>204</v>
      </c>
      <c r="D326" s="20">
        <v>1000</v>
      </c>
      <c r="E326" t="s">
        <v>404</v>
      </c>
      <c r="F326" t="s">
        <v>334</v>
      </c>
      <c r="G326" t="s">
        <v>25</v>
      </c>
      <c r="H326" t="s">
        <v>337</v>
      </c>
      <c r="I326">
        <v>7</v>
      </c>
      <c r="J326">
        <v>3</v>
      </c>
      <c r="K326" s="20">
        <v>1000</v>
      </c>
      <c r="L326" t="s">
        <v>268</v>
      </c>
      <c r="M326" t="s">
        <v>64</v>
      </c>
      <c r="N326" t="s">
        <v>26</v>
      </c>
    </row>
    <row r="327" spans="1:14" x14ac:dyDescent="0.3">
      <c r="A327" s="8">
        <v>45844</v>
      </c>
      <c r="B327" t="s">
        <v>230</v>
      </c>
      <c r="C327" t="s">
        <v>239</v>
      </c>
      <c r="D327" s="20">
        <v>2081</v>
      </c>
      <c r="E327" t="s">
        <v>415</v>
      </c>
      <c r="F327" t="s">
        <v>334</v>
      </c>
      <c r="G327" t="s">
        <v>25</v>
      </c>
      <c r="H327" t="s">
        <v>337</v>
      </c>
      <c r="I327">
        <v>7</v>
      </c>
      <c r="J327">
        <v>3</v>
      </c>
      <c r="K327" s="20">
        <v>2081</v>
      </c>
      <c r="L327" t="s">
        <v>268</v>
      </c>
      <c r="M327" t="s">
        <v>40</v>
      </c>
      <c r="N327" t="s">
        <v>26</v>
      </c>
    </row>
    <row r="328" spans="1:14" x14ac:dyDescent="0.3">
      <c r="A328" s="8">
        <v>45846</v>
      </c>
      <c r="B328" t="s">
        <v>230</v>
      </c>
      <c r="C328" t="s">
        <v>202</v>
      </c>
      <c r="D328" s="20">
        <v>2500</v>
      </c>
      <c r="E328" t="s">
        <v>403</v>
      </c>
      <c r="F328" t="s">
        <v>334</v>
      </c>
      <c r="G328" t="s">
        <v>25</v>
      </c>
      <c r="H328" t="s">
        <v>337</v>
      </c>
      <c r="I328">
        <v>7</v>
      </c>
      <c r="J328">
        <v>3</v>
      </c>
      <c r="K328" s="20">
        <v>2500</v>
      </c>
      <c r="L328" t="s">
        <v>268</v>
      </c>
      <c r="M328" t="s">
        <v>80</v>
      </c>
      <c r="N328" t="s">
        <v>26</v>
      </c>
    </row>
    <row r="329" spans="1:14" x14ac:dyDescent="0.3">
      <c r="A329" s="8">
        <v>45849</v>
      </c>
      <c r="B329" t="s">
        <v>230</v>
      </c>
      <c r="C329" t="s">
        <v>239</v>
      </c>
      <c r="D329" s="20">
        <v>900</v>
      </c>
      <c r="E329" t="s">
        <v>415</v>
      </c>
      <c r="F329" t="s">
        <v>334</v>
      </c>
      <c r="G329" t="s">
        <v>25</v>
      </c>
      <c r="H329" t="s">
        <v>337</v>
      </c>
      <c r="I329">
        <v>7</v>
      </c>
      <c r="J329">
        <v>3</v>
      </c>
      <c r="K329" s="20">
        <v>900</v>
      </c>
      <c r="L329" t="s">
        <v>268</v>
      </c>
      <c r="M329" t="s">
        <v>40</v>
      </c>
      <c r="N329" t="s">
        <v>26</v>
      </c>
    </row>
    <row r="330" spans="1:14" x14ac:dyDescent="0.3">
      <c r="A330" s="8">
        <v>45851</v>
      </c>
      <c r="B330" t="s">
        <v>230</v>
      </c>
      <c r="C330" t="s">
        <v>234</v>
      </c>
      <c r="D330" s="20">
        <v>500</v>
      </c>
      <c r="E330" t="s">
        <v>272</v>
      </c>
      <c r="F330" t="s">
        <v>333</v>
      </c>
      <c r="G330" t="s">
        <v>136</v>
      </c>
      <c r="H330" t="s">
        <v>336</v>
      </c>
      <c r="I330">
        <v>7</v>
      </c>
      <c r="J330">
        <v>3</v>
      </c>
      <c r="K330" s="20">
        <v>-500</v>
      </c>
      <c r="L330" t="s">
        <v>269</v>
      </c>
      <c r="M330" t="s">
        <v>137</v>
      </c>
      <c r="N330" t="s">
        <v>135</v>
      </c>
    </row>
    <row r="331" spans="1:14" x14ac:dyDescent="0.3">
      <c r="A331" s="8">
        <v>45852</v>
      </c>
      <c r="B331" t="s">
        <v>230</v>
      </c>
      <c r="C331" t="s">
        <v>235</v>
      </c>
      <c r="D331" s="20">
        <v>1300</v>
      </c>
      <c r="E331" t="s">
        <v>272</v>
      </c>
      <c r="F331" t="s">
        <v>333</v>
      </c>
      <c r="G331" t="s">
        <v>136</v>
      </c>
      <c r="H331" t="s">
        <v>336</v>
      </c>
      <c r="I331">
        <v>7</v>
      </c>
      <c r="J331">
        <v>3</v>
      </c>
      <c r="K331" s="20">
        <v>-1300</v>
      </c>
      <c r="L331" t="s">
        <v>269</v>
      </c>
      <c r="M331" t="s">
        <v>137</v>
      </c>
      <c r="N331" t="s">
        <v>135</v>
      </c>
    </row>
    <row r="332" spans="1:14" x14ac:dyDescent="0.3">
      <c r="A332" s="8">
        <v>45852</v>
      </c>
      <c r="B332" t="s">
        <v>230</v>
      </c>
      <c r="C332" t="s">
        <v>172</v>
      </c>
      <c r="D332" s="20">
        <v>3600</v>
      </c>
      <c r="E332" t="s">
        <v>370</v>
      </c>
      <c r="F332" t="s">
        <v>334</v>
      </c>
      <c r="G332" t="s">
        <v>25</v>
      </c>
      <c r="H332" t="s">
        <v>337</v>
      </c>
      <c r="I332">
        <v>7</v>
      </c>
      <c r="J332">
        <v>3</v>
      </c>
      <c r="K332" s="20">
        <v>3600</v>
      </c>
      <c r="L332" t="s">
        <v>268</v>
      </c>
      <c r="M332" t="s">
        <v>58</v>
      </c>
      <c r="N332" t="s">
        <v>26</v>
      </c>
    </row>
    <row r="333" spans="1:14" x14ac:dyDescent="0.3">
      <c r="A333" s="8">
        <v>45853</v>
      </c>
      <c r="B333" t="s">
        <v>230</v>
      </c>
      <c r="C333" t="s">
        <v>155</v>
      </c>
      <c r="D333" s="20">
        <v>3000</v>
      </c>
      <c r="E333" t="s">
        <v>376</v>
      </c>
      <c r="F333" t="s">
        <v>334</v>
      </c>
      <c r="G333" t="s">
        <v>25</v>
      </c>
      <c r="H333" t="s">
        <v>337</v>
      </c>
      <c r="I333">
        <v>7</v>
      </c>
      <c r="J333">
        <v>3</v>
      </c>
      <c r="K333" s="20">
        <v>3000</v>
      </c>
      <c r="L333" t="s">
        <v>268</v>
      </c>
      <c r="M333" t="s">
        <v>29</v>
      </c>
      <c r="N333" t="s">
        <v>26</v>
      </c>
    </row>
    <row r="334" spans="1:14" x14ac:dyDescent="0.3">
      <c r="A334" s="8">
        <v>45853</v>
      </c>
      <c r="B334" t="s">
        <v>230</v>
      </c>
      <c r="C334" t="s">
        <v>240</v>
      </c>
      <c r="D334" s="20">
        <v>3700</v>
      </c>
      <c r="E334" t="s">
        <v>416</v>
      </c>
      <c r="F334" t="s">
        <v>334</v>
      </c>
      <c r="G334" t="s">
        <v>25</v>
      </c>
      <c r="H334" t="s">
        <v>337</v>
      </c>
      <c r="I334">
        <v>7</v>
      </c>
      <c r="J334">
        <v>3</v>
      </c>
      <c r="K334" s="20">
        <v>3700</v>
      </c>
      <c r="L334" t="s">
        <v>268</v>
      </c>
      <c r="M334" t="s">
        <v>37</v>
      </c>
      <c r="N334" t="s">
        <v>26</v>
      </c>
    </row>
    <row r="335" spans="1:14" x14ac:dyDescent="0.3">
      <c r="A335" s="8">
        <v>45853</v>
      </c>
      <c r="B335" t="s">
        <v>230</v>
      </c>
      <c r="C335" t="s">
        <v>203</v>
      </c>
      <c r="D335" s="20">
        <v>1000</v>
      </c>
      <c r="E335" t="s">
        <v>407</v>
      </c>
      <c r="F335" t="s">
        <v>334</v>
      </c>
      <c r="G335" t="s">
        <v>25</v>
      </c>
      <c r="H335" t="s">
        <v>337</v>
      </c>
      <c r="I335">
        <v>7</v>
      </c>
      <c r="J335">
        <v>3</v>
      </c>
      <c r="K335" s="20">
        <v>1000</v>
      </c>
      <c r="L335" t="s">
        <v>268</v>
      </c>
      <c r="M335" t="s">
        <v>74</v>
      </c>
      <c r="N335" t="s">
        <v>26</v>
      </c>
    </row>
    <row r="336" spans="1:14" x14ac:dyDescent="0.3">
      <c r="A336" s="8">
        <v>45853</v>
      </c>
      <c r="B336" t="s">
        <v>230</v>
      </c>
      <c r="C336" t="s">
        <v>166</v>
      </c>
      <c r="D336" s="20">
        <v>3000</v>
      </c>
      <c r="E336" t="s">
        <v>364</v>
      </c>
      <c r="F336" t="s">
        <v>334</v>
      </c>
      <c r="G336" t="s">
        <v>25</v>
      </c>
      <c r="H336" t="s">
        <v>337</v>
      </c>
      <c r="I336">
        <v>7</v>
      </c>
      <c r="J336">
        <v>3</v>
      </c>
      <c r="K336" s="20">
        <v>3000</v>
      </c>
      <c r="L336" t="s">
        <v>268</v>
      </c>
      <c r="M336" t="s">
        <v>84</v>
      </c>
      <c r="N336" t="s">
        <v>26</v>
      </c>
    </row>
    <row r="337" spans="1:14" x14ac:dyDescent="0.3">
      <c r="A337" s="8">
        <v>45853</v>
      </c>
      <c r="B337" t="s">
        <v>230</v>
      </c>
      <c r="C337" t="s">
        <v>163</v>
      </c>
      <c r="D337" s="20">
        <v>2000</v>
      </c>
      <c r="E337" t="s">
        <v>377</v>
      </c>
      <c r="F337" t="s">
        <v>334</v>
      </c>
      <c r="G337" t="s">
        <v>25</v>
      </c>
      <c r="H337" t="s">
        <v>337</v>
      </c>
      <c r="I337">
        <v>7</v>
      </c>
      <c r="J337">
        <v>3</v>
      </c>
      <c r="K337" s="20">
        <v>2000</v>
      </c>
      <c r="L337" t="s">
        <v>268</v>
      </c>
      <c r="M337" t="s">
        <v>34</v>
      </c>
      <c r="N337" t="s">
        <v>26</v>
      </c>
    </row>
    <row r="338" spans="1:14" x14ac:dyDescent="0.3">
      <c r="A338" s="8">
        <v>45854</v>
      </c>
      <c r="B338" t="s">
        <v>230</v>
      </c>
      <c r="C338" t="s">
        <v>237</v>
      </c>
      <c r="D338" s="20">
        <v>5000</v>
      </c>
      <c r="E338" t="s">
        <v>272</v>
      </c>
      <c r="F338" t="s">
        <v>333</v>
      </c>
      <c r="G338" t="s">
        <v>136</v>
      </c>
      <c r="H338" t="s">
        <v>336</v>
      </c>
      <c r="I338">
        <v>7</v>
      </c>
      <c r="J338">
        <v>3</v>
      </c>
      <c r="K338" s="20">
        <v>-5000</v>
      </c>
      <c r="L338" t="s">
        <v>269</v>
      </c>
      <c r="M338" t="s">
        <v>137</v>
      </c>
      <c r="N338" t="s">
        <v>135</v>
      </c>
    </row>
    <row r="339" spans="1:14" x14ac:dyDescent="0.3">
      <c r="A339" s="8">
        <v>45854</v>
      </c>
      <c r="B339" t="s">
        <v>230</v>
      </c>
      <c r="C339" t="s">
        <v>164</v>
      </c>
      <c r="D339" s="20">
        <v>6000</v>
      </c>
      <c r="E339" t="s">
        <v>327</v>
      </c>
      <c r="F339" t="s">
        <v>333</v>
      </c>
      <c r="G339" t="s">
        <v>25</v>
      </c>
      <c r="H339" t="s">
        <v>336</v>
      </c>
      <c r="I339">
        <v>7</v>
      </c>
      <c r="J339">
        <v>3</v>
      </c>
      <c r="K339" s="20">
        <v>-6000</v>
      </c>
      <c r="L339" t="s">
        <v>269</v>
      </c>
      <c r="M339" t="s">
        <v>321</v>
      </c>
      <c r="N339" t="s">
        <v>26</v>
      </c>
    </row>
    <row r="340" spans="1:14" x14ac:dyDescent="0.3">
      <c r="A340" s="8">
        <v>45854</v>
      </c>
      <c r="B340" t="s">
        <v>230</v>
      </c>
      <c r="C340" t="s">
        <v>160</v>
      </c>
      <c r="D340" s="20">
        <v>5000</v>
      </c>
      <c r="E340" t="s">
        <v>276</v>
      </c>
      <c r="F340" t="s">
        <v>333</v>
      </c>
      <c r="G340" t="s">
        <v>25</v>
      </c>
      <c r="H340" t="s">
        <v>336</v>
      </c>
      <c r="I340">
        <v>7</v>
      </c>
      <c r="J340">
        <v>3</v>
      </c>
      <c r="K340" s="20">
        <v>-5000</v>
      </c>
      <c r="L340" t="s">
        <v>269</v>
      </c>
      <c r="M340" t="s">
        <v>76</v>
      </c>
      <c r="N340" t="s">
        <v>26</v>
      </c>
    </row>
    <row r="341" spans="1:14" x14ac:dyDescent="0.3">
      <c r="A341" s="8">
        <v>45854</v>
      </c>
      <c r="B341" t="s">
        <v>230</v>
      </c>
      <c r="C341" t="s">
        <v>236</v>
      </c>
      <c r="D341" s="20">
        <v>10015</v>
      </c>
      <c r="E341" t="s">
        <v>272</v>
      </c>
      <c r="F341" t="s">
        <v>333</v>
      </c>
      <c r="G341" t="s">
        <v>136</v>
      </c>
      <c r="H341" t="s">
        <v>336</v>
      </c>
      <c r="I341">
        <v>7</v>
      </c>
      <c r="J341">
        <v>3</v>
      </c>
      <c r="K341" s="20">
        <v>-10015</v>
      </c>
      <c r="L341" t="s">
        <v>269</v>
      </c>
      <c r="M341" t="s">
        <v>137</v>
      </c>
      <c r="N341" t="s">
        <v>135</v>
      </c>
    </row>
    <row r="342" spans="1:14" x14ac:dyDescent="0.3">
      <c r="A342" s="8">
        <v>45854</v>
      </c>
      <c r="B342" t="s">
        <v>230</v>
      </c>
      <c r="C342" t="s">
        <v>218</v>
      </c>
      <c r="D342" s="20">
        <v>15015</v>
      </c>
      <c r="E342" t="s">
        <v>287</v>
      </c>
      <c r="F342" t="s">
        <v>333</v>
      </c>
      <c r="G342" t="s">
        <v>25</v>
      </c>
      <c r="H342" t="s">
        <v>336</v>
      </c>
      <c r="I342">
        <v>7</v>
      </c>
      <c r="J342">
        <v>3</v>
      </c>
      <c r="K342" s="20">
        <v>-15015</v>
      </c>
      <c r="L342" t="s">
        <v>269</v>
      </c>
      <c r="M342" t="s">
        <v>42</v>
      </c>
      <c r="N342" t="s">
        <v>26</v>
      </c>
    </row>
    <row r="343" spans="1:14" x14ac:dyDescent="0.3">
      <c r="A343" s="8">
        <v>45854</v>
      </c>
      <c r="B343" t="s">
        <v>230</v>
      </c>
      <c r="C343" t="s">
        <v>233</v>
      </c>
      <c r="D343" s="20">
        <v>10015</v>
      </c>
      <c r="E343" t="s">
        <v>291</v>
      </c>
      <c r="F343" t="s">
        <v>333</v>
      </c>
      <c r="G343" t="s">
        <v>25</v>
      </c>
      <c r="H343" t="s">
        <v>336</v>
      </c>
      <c r="I343">
        <v>7</v>
      </c>
      <c r="J343">
        <v>3</v>
      </c>
      <c r="K343" s="20">
        <v>-10015</v>
      </c>
      <c r="L343" t="s">
        <v>269</v>
      </c>
      <c r="M343" t="s">
        <v>51</v>
      </c>
      <c r="N343" t="s">
        <v>26</v>
      </c>
    </row>
    <row r="344" spans="1:14" x14ac:dyDescent="0.3">
      <c r="A344" s="8">
        <v>45854</v>
      </c>
      <c r="B344" t="s">
        <v>230</v>
      </c>
      <c r="C344" t="s">
        <v>148</v>
      </c>
      <c r="D344" s="20">
        <v>25015</v>
      </c>
      <c r="E344" t="s">
        <v>324</v>
      </c>
      <c r="F344" t="s">
        <v>333</v>
      </c>
      <c r="G344" t="s">
        <v>139</v>
      </c>
      <c r="H344" t="s">
        <v>336</v>
      </c>
      <c r="I344">
        <v>7</v>
      </c>
      <c r="J344">
        <v>3</v>
      </c>
      <c r="K344" s="20">
        <v>-25015</v>
      </c>
      <c r="L344" t="s">
        <v>269</v>
      </c>
      <c r="M344" t="s">
        <v>322</v>
      </c>
      <c r="N344" t="s">
        <v>138</v>
      </c>
    </row>
    <row r="345" spans="1:14" x14ac:dyDescent="0.3">
      <c r="A345" s="8">
        <v>45854</v>
      </c>
      <c r="B345" t="s">
        <v>230</v>
      </c>
      <c r="C345" t="s">
        <v>183</v>
      </c>
      <c r="D345" s="20">
        <v>400</v>
      </c>
      <c r="E345" t="s">
        <v>392</v>
      </c>
      <c r="F345" t="s">
        <v>334</v>
      </c>
      <c r="G345" t="s">
        <v>25</v>
      </c>
      <c r="H345" t="s">
        <v>337</v>
      </c>
      <c r="I345">
        <v>7</v>
      </c>
      <c r="J345">
        <v>3</v>
      </c>
      <c r="K345" s="20">
        <v>400</v>
      </c>
      <c r="L345" t="s">
        <v>268</v>
      </c>
      <c r="M345" t="s">
        <v>19</v>
      </c>
      <c r="N345" t="s">
        <v>26</v>
      </c>
    </row>
    <row r="346" spans="1:14" x14ac:dyDescent="0.3">
      <c r="A346" s="8">
        <v>45854</v>
      </c>
      <c r="B346" t="s">
        <v>230</v>
      </c>
      <c r="C346" t="s">
        <v>194</v>
      </c>
      <c r="D346" s="20">
        <v>1000</v>
      </c>
      <c r="E346" t="s">
        <v>396</v>
      </c>
      <c r="F346" t="s">
        <v>334</v>
      </c>
      <c r="G346" t="s">
        <v>25</v>
      </c>
      <c r="H346" t="s">
        <v>337</v>
      </c>
      <c r="I346">
        <v>7</v>
      </c>
      <c r="J346">
        <v>3</v>
      </c>
      <c r="K346" s="20">
        <v>1000</v>
      </c>
      <c r="L346" t="s">
        <v>268</v>
      </c>
      <c r="M346" t="s">
        <v>87</v>
      </c>
      <c r="N346" t="s">
        <v>26</v>
      </c>
    </row>
    <row r="347" spans="1:14" x14ac:dyDescent="0.3">
      <c r="A347" s="8">
        <v>45854</v>
      </c>
      <c r="B347" t="s">
        <v>230</v>
      </c>
      <c r="C347" t="s">
        <v>343</v>
      </c>
      <c r="D347" s="20">
        <v>51510</v>
      </c>
      <c r="E347" t="s">
        <v>417</v>
      </c>
      <c r="F347" t="s">
        <v>334</v>
      </c>
      <c r="G347" t="s">
        <v>122</v>
      </c>
      <c r="H347" t="s">
        <v>337</v>
      </c>
      <c r="I347">
        <v>7</v>
      </c>
      <c r="J347">
        <v>3</v>
      </c>
      <c r="K347" s="20">
        <v>51510</v>
      </c>
      <c r="L347" t="s">
        <v>268</v>
      </c>
      <c r="M347" t="s">
        <v>311</v>
      </c>
      <c r="N347" t="s">
        <v>121</v>
      </c>
    </row>
    <row r="348" spans="1:14" x14ac:dyDescent="0.3">
      <c r="A348" s="8">
        <v>45855</v>
      </c>
      <c r="B348" t="s">
        <v>230</v>
      </c>
      <c r="C348" t="s">
        <v>195</v>
      </c>
      <c r="D348" s="20">
        <v>181</v>
      </c>
      <c r="E348" t="s">
        <v>328</v>
      </c>
      <c r="F348" t="s">
        <v>333</v>
      </c>
      <c r="G348" t="s">
        <v>319</v>
      </c>
      <c r="H348" t="s">
        <v>336</v>
      </c>
      <c r="I348">
        <v>7</v>
      </c>
      <c r="J348">
        <v>3</v>
      </c>
      <c r="K348" s="20">
        <v>-181</v>
      </c>
      <c r="L348" t="s">
        <v>269</v>
      </c>
      <c r="M348" t="s">
        <v>315</v>
      </c>
      <c r="N348" t="s">
        <v>90</v>
      </c>
    </row>
    <row r="349" spans="1:14" x14ac:dyDescent="0.3">
      <c r="A349" s="8">
        <v>45858</v>
      </c>
      <c r="B349" t="s">
        <v>230</v>
      </c>
      <c r="C349" t="s">
        <v>238</v>
      </c>
      <c r="D349" s="20">
        <v>3525</v>
      </c>
      <c r="E349" t="s">
        <v>272</v>
      </c>
      <c r="F349" t="s">
        <v>333</v>
      </c>
      <c r="G349" t="s">
        <v>136</v>
      </c>
      <c r="H349" t="s">
        <v>336</v>
      </c>
      <c r="I349">
        <v>7</v>
      </c>
      <c r="J349">
        <v>3</v>
      </c>
      <c r="K349" s="20">
        <v>-3525</v>
      </c>
      <c r="L349" t="s">
        <v>269</v>
      </c>
      <c r="M349" t="s">
        <v>137</v>
      </c>
      <c r="N349" t="s">
        <v>135</v>
      </c>
    </row>
    <row r="350" spans="1:14" x14ac:dyDescent="0.3">
      <c r="A350" s="8">
        <v>45860</v>
      </c>
      <c r="B350" t="s">
        <v>230</v>
      </c>
      <c r="C350" t="s">
        <v>241</v>
      </c>
      <c r="D350" s="20">
        <v>200</v>
      </c>
      <c r="E350" t="s">
        <v>418</v>
      </c>
      <c r="F350" t="s">
        <v>334</v>
      </c>
      <c r="G350" t="s">
        <v>25</v>
      </c>
      <c r="H350" t="s">
        <v>337</v>
      </c>
      <c r="I350">
        <v>7</v>
      </c>
      <c r="J350">
        <v>3</v>
      </c>
      <c r="K350" s="20">
        <v>200</v>
      </c>
      <c r="L350" t="s">
        <v>268</v>
      </c>
      <c r="M350" t="s">
        <v>48</v>
      </c>
      <c r="N350" t="s">
        <v>26</v>
      </c>
    </row>
    <row r="351" spans="1:14" x14ac:dyDescent="0.3">
      <c r="A351" s="8">
        <v>45860</v>
      </c>
      <c r="B351" t="s">
        <v>230</v>
      </c>
      <c r="C351" t="s">
        <v>343</v>
      </c>
      <c r="D351" s="20">
        <v>2730.83</v>
      </c>
      <c r="E351" t="s">
        <v>312</v>
      </c>
      <c r="F351" t="s">
        <v>333</v>
      </c>
      <c r="G351" t="s">
        <v>122</v>
      </c>
      <c r="H351" t="s">
        <v>336</v>
      </c>
      <c r="I351">
        <v>7</v>
      </c>
      <c r="J351">
        <v>3</v>
      </c>
      <c r="K351" s="20">
        <v>-2730.83</v>
      </c>
      <c r="L351" t="s">
        <v>269</v>
      </c>
      <c r="M351" t="s">
        <v>311</v>
      </c>
      <c r="N351" t="s">
        <v>121</v>
      </c>
    </row>
    <row r="352" spans="1:14" x14ac:dyDescent="0.3">
      <c r="A352" s="8">
        <v>45862</v>
      </c>
      <c r="B352" t="s">
        <v>230</v>
      </c>
      <c r="C352" t="s">
        <v>152</v>
      </c>
      <c r="D352" s="20">
        <v>1500</v>
      </c>
      <c r="E352" t="s">
        <v>386</v>
      </c>
      <c r="F352" t="s">
        <v>334</v>
      </c>
      <c r="G352" t="s">
        <v>25</v>
      </c>
      <c r="H352" t="s">
        <v>337</v>
      </c>
      <c r="I352">
        <v>7</v>
      </c>
      <c r="J352">
        <v>3</v>
      </c>
      <c r="K352" s="20">
        <v>1500</v>
      </c>
      <c r="L352" t="s">
        <v>268</v>
      </c>
      <c r="M352" t="s">
        <v>77</v>
      </c>
      <c r="N352" t="s">
        <v>26</v>
      </c>
    </row>
    <row r="353" spans="1:14" x14ac:dyDescent="0.3">
      <c r="A353" s="8">
        <v>45863</v>
      </c>
      <c r="B353" t="s">
        <v>230</v>
      </c>
      <c r="C353" t="s">
        <v>152</v>
      </c>
      <c r="D353" s="20">
        <v>5000</v>
      </c>
      <c r="E353" t="s">
        <v>271</v>
      </c>
      <c r="F353" t="s">
        <v>333</v>
      </c>
      <c r="G353" t="s">
        <v>25</v>
      </c>
      <c r="H353" t="s">
        <v>336</v>
      </c>
      <c r="I353">
        <v>7</v>
      </c>
      <c r="J353">
        <v>3</v>
      </c>
      <c r="K353" s="20">
        <v>-5000</v>
      </c>
      <c r="L353" t="s">
        <v>269</v>
      </c>
      <c r="M353" t="s">
        <v>77</v>
      </c>
      <c r="N353" t="s">
        <v>26</v>
      </c>
    </row>
    <row r="354" spans="1:14" x14ac:dyDescent="0.3">
      <c r="A354" s="8">
        <v>45866</v>
      </c>
      <c r="B354" t="s">
        <v>230</v>
      </c>
      <c r="C354" t="s">
        <v>172</v>
      </c>
      <c r="D354" s="20">
        <v>3600</v>
      </c>
      <c r="E354" t="s">
        <v>370</v>
      </c>
      <c r="F354" t="s">
        <v>334</v>
      </c>
      <c r="G354" t="s">
        <v>25</v>
      </c>
      <c r="H354" t="s">
        <v>337</v>
      </c>
      <c r="I354">
        <v>7</v>
      </c>
      <c r="J354">
        <v>3</v>
      </c>
      <c r="K354" s="20">
        <v>3600</v>
      </c>
      <c r="L354" t="s">
        <v>268</v>
      </c>
      <c r="M354" t="s">
        <v>58</v>
      </c>
      <c r="N354" t="s">
        <v>26</v>
      </c>
    </row>
    <row r="355" spans="1:14" x14ac:dyDescent="0.3">
      <c r="A355" s="8">
        <v>45868</v>
      </c>
      <c r="B355" t="s">
        <v>230</v>
      </c>
      <c r="C355" t="s">
        <v>353</v>
      </c>
      <c r="D355" s="20">
        <v>10000</v>
      </c>
      <c r="E355" t="s">
        <v>300</v>
      </c>
      <c r="F355" t="s">
        <v>333</v>
      </c>
      <c r="G355" t="s">
        <v>130</v>
      </c>
      <c r="H355" t="s">
        <v>336</v>
      </c>
      <c r="I355">
        <v>7</v>
      </c>
      <c r="J355">
        <v>3</v>
      </c>
      <c r="K355" s="20">
        <v>-10000</v>
      </c>
      <c r="L355" t="s">
        <v>269</v>
      </c>
      <c r="M355" t="s">
        <v>131</v>
      </c>
      <c r="N355" t="s">
        <v>103</v>
      </c>
    </row>
    <row r="356" spans="1:14" x14ac:dyDescent="0.3">
      <c r="A356" s="8">
        <v>45868</v>
      </c>
      <c r="B356" t="s">
        <v>230</v>
      </c>
      <c r="C356" t="s">
        <v>355</v>
      </c>
      <c r="D356" s="20">
        <v>4000</v>
      </c>
      <c r="E356" t="s">
        <v>389</v>
      </c>
      <c r="F356" t="s">
        <v>334</v>
      </c>
      <c r="G356" t="s">
        <v>9</v>
      </c>
      <c r="H356" t="s">
        <v>337</v>
      </c>
      <c r="I356">
        <v>7</v>
      </c>
      <c r="J356">
        <v>3</v>
      </c>
      <c r="K356" s="20">
        <v>4000</v>
      </c>
      <c r="L356" t="s">
        <v>268</v>
      </c>
      <c r="M356" t="s">
        <v>128</v>
      </c>
      <c r="N356" t="s">
        <v>126</v>
      </c>
    </row>
    <row r="357" spans="1:14" x14ac:dyDescent="0.3">
      <c r="A357" s="8">
        <v>45868</v>
      </c>
      <c r="B357" t="s">
        <v>230</v>
      </c>
      <c r="C357" t="s">
        <v>354</v>
      </c>
      <c r="D357" s="20">
        <v>12000</v>
      </c>
      <c r="E357" t="s">
        <v>390</v>
      </c>
      <c r="F357" t="s">
        <v>334</v>
      </c>
      <c r="G357" t="s">
        <v>9</v>
      </c>
      <c r="H357" t="s">
        <v>337</v>
      </c>
      <c r="I357">
        <v>7</v>
      </c>
      <c r="J357">
        <v>3</v>
      </c>
      <c r="K357" s="20">
        <v>12000</v>
      </c>
      <c r="L357" t="s">
        <v>268</v>
      </c>
      <c r="M357" t="s">
        <v>127</v>
      </c>
      <c r="N357" t="s">
        <v>126</v>
      </c>
    </row>
    <row r="358" spans="1:14" x14ac:dyDescent="0.3">
      <c r="A358" s="8">
        <v>45868</v>
      </c>
      <c r="B358" t="s">
        <v>230</v>
      </c>
      <c r="C358" t="s">
        <v>217</v>
      </c>
      <c r="D358" s="20">
        <v>3000</v>
      </c>
      <c r="E358" t="s">
        <v>419</v>
      </c>
      <c r="F358" t="s">
        <v>334</v>
      </c>
      <c r="G358" t="s">
        <v>25</v>
      </c>
      <c r="H358" t="s">
        <v>337</v>
      </c>
      <c r="I358">
        <v>7</v>
      </c>
      <c r="J358">
        <v>3</v>
      </c>
      <c r="K358" s="20">
        <v>3000</v>
      </c>
      <c r="L358" t="s">
        <v>268</v>
      </c>
      <c r="M358" t="s">
        <v>36</v>
      </c>
      <c r="N358" t="s">
        <v>26</v>
      </c>
    </row>
    <row r="359" spans="1:14" x14ac:dyDescent="0.3">
      <c r="A359" s="8">
        <v>45868</v>
      </c>
      <c r="B359" t="s">
        <v>230</v>
      </c>
      <c r="C359" t="s">
        <v>360</v>
      </c>
      <c r="D359" s="20">
        <v>5500</v>
      </c>
      <c r="E359" t="s">
        <v>305</v>
      </c>
      <c r="F359" t="s">
        <v>333</v>
      </c>
      <c r="G359" t="s">
        <v>11</v>
      </c>
      <c r="H359" t="s">
        <v>336</v>
      </c>
      <c r="I359">
        <v>7</v>
      </c>
      <c r="J359">
        <v>3</v>
      </c>
      <c r="K359" s="20">
        <v>-5500</v>
      </c>
      <c r="L359" t="s">
        <v>269</v>
      </c>
      <c r="M359" t="s">
        <v>115</v>
      </c>
      <c r="N359" t="s">
        <v>103</v>
      </c>
    </row>
    <row r="360" spans="1:14" x14ac:dyDescent="0.3">
      <c r="A360" s="8">
        <v>45868</v>
      </c>
      <c r="B360" t="s">
        <v>230</v>
      </c>
      <c r="C360" t="s">
        <v>361</v>
      </c>
      <c r="D360" s="20">
        <v>10000</v>
      </c>
      <c r="E360" t="s">
        <v>306</v>
      </c>
      <c r="F360" t="s">
        <v>333</v>
      </c>
      <c r="G360" t="s">
        <v>124</v>
      </c>
      <c r="H360" t="s">
        <v>336</v>
      </c>
      <c r="I360">
        <v>7</v>
      </c>
      <c r="J360">
        <v>3</v>
      </c>
      <c r="K360" s="20">
        <v>-10000</v>
      </c>
      <c r="L360" t="s">
        <v>269</v>
      </c>
      <c r="M360" t="s">
        <v>125</v>
      </c>
      <c r="N360" t="s">
        <v>103</v>
      </c>
    </row>
    <row r="361" spans="1:14" x14ac:dyDescent="0.3">
      <c r="A361" s="8">
        <v>45868</v>
      </c>
      <c r="B361" t="s">
        <v>230</v>
      </c>
      <c r="C361" t="s">
        <v>356</v>
      </c>
      <c r="D361" s="20">
        <v>15000</v>
      </c>
      <c r="E361" t="s">
        <v>301</v>
      </c>
      <c r="F361" t="s">
        <v>333</v>
      </c>
      <c r="G361" t="s">
        <v>133</v>
      </c>
      <c r="H361" t="s">
        <v>336</v>
      </c>
      <c r="I361">
        <v>7</v>
      </c>
      <c r="J361">
        <v>3</v>
      </c>
      <c r="K361" s="20">
        <v>-15000</v>
      </c>
      <c r="L361" t="s">
        <v>269</v>
      </c>
      <c r="M361" t="s">
        <v>134</v>
      </c>
      <c r="N361" t="s">
        <v>132</v>
      </c>
    </row>
    <row r="362" spans="1:14" x14ac:dyDescent="0.3">
      <c r="A362" s="8">
        <v>45868</v>
      </c>
      <c r="B362" t="s">
        <v>230</v>
      </c>
      <c r="C362" t="s">
        <v>203</v>
      </c>
      <c r="D362" s="20">
        <v>3000</v>
      </c>
      <c r="E362" t="s">
        <v>407</v>
      </c>
      <c r="F362" t="s">
        <v>334</v>
      </c>
      <c r="G362" t="s">
        <v>25</v>
      </c>
      <c r="H362" t="s">
        <v>337</v>
      </c>
      <c r="I362">
        <v>7</v>
      </c>
      <c r="J362">
        <v>3</v>
      </c>
      <c r="K362" s="20">
        <v>3000</v>
      </c>
      <c r="L362" t="s">
        <v>268</v>
      </c>
      <c r="M362" t="s">
        <v>74</v>
      </c>
      <c r="N362" t="s">
        <v>26</v>
      </c>
    </row>
    <row r="363" spans="1:14" x14ac:dyDescent="0.3">
      <c r="A363" s="8">
        <v>45868</v>
      </c>
      <c r="B363" t="s">
        <v>230</v>
      </c>
      <c r="C363" t="s">
        <v>163</v>
      </c>
      <c r="D363" s="20">
        <v>3000</v>
      </c>
      <c r="E363" t="s">
        <v>377</v>
      </c>
      <c r="F363" t="s">
        <v>334</v>
      </c>
      <c r="G363" t="s">
        <v>25</v>
      </c>
      <c r="H363" t="s">
        <v>337</v>
      </c>
      <c r="I363">
        <v>7</v>
      </c>
      <c r="J363">
        <v>3</v>
      </c>
      <c r="K363" s="20">
        <v>3000</v>
      </c>
      <c r="L363" t="s">
        <v>268</v>
      </c>
      <c r="M363" t="s">
        <v>34</v>
      </c>
      <c r="N363" t="s">
        <v>26</v>
      </c>
    </row>
    <row r="364" spans="1:14" x14ac:dyDescent="0.3">
      <c r="A364" s="8">
        <v>45868</v>
      </c>
      <c r="B364" t="s">
        <v>230</v>
      </c>
      <c r="C364" t="s">
        <v>155</v>
      </c>
      <c r="D364" s="20">
        <v>3000</v>
      </c>
      <c r="E364" t="s">
        <v>376</v>
      </c>
      <c r="F364" t="s">
        <v>334</v>
      </c>
      <c r="G364" t="s">
        <v>25</v>
      </c>
      <c r="H364" t="s">
        <v>337</v>
      </c>
      <c r="I364">
        <v>7</v>
      </c>
      <c r="J364">
        <v>3</v>
      </c>
      <c r="K364" s="20">
        <v>3000</v>
      </c>
      <c r="L364" t="s">
        <v>268</v>
      </c>
      <c r="M364" t="s">
        <v>29</v>
      </c>
      <c r="N364" t="s">
        <v>26</v>
      </c>
    </row>
    <row r="365" spans="1:14" x14ac:dyDescent="0.3">
      <c r="A365" s="8">
        <v>45868</v>
      </c>
      <c r="B365" t="s">
        <v>230</v>
      </c>
      <c r="C365" t="s">
        <v>233</v>
      </c>
      <c r="D365" s="20">
        <v>2000</v>
      </c>
      <c r="E365" t="s">
        <v>420</v>
      </c>
      <c r="F365" t="s">
        <v>334</v>
      </c>
      <c r="G365" t="s">
        <v>25</v>
      </c>
      <c r="H365" t="s">
        <v>337</v>
      </c>
      <c r="I365">
        <v>7</v>
      </c>
      <c r="J365">
        <v>3</v>
      </c>
      <c r="K365" s="20">
        <v>2000</v>
      </c>
      <c r="L365" t="s">
        <v>268</v>
      </c>
      <c r="M365" t="s">
        <v>51</v>
      </c>
      <c r="N365" t="s">
        <v>26</v>
      </c>
    </row>
    <row r="366" spans="1:14" x14ac:dyDescent="0.3">
      <c r="A366" s="8">
        <v>45868</v>
      </c>
      <c r="B366" t="s">
        <v>230</v>
      </c>
      <c r="C366" t="s">
        <v>194</v>
      </c>
      <c r="D366" s="20">
        <v>1000</v>
      </c>
      <c r="E366" t="s">
        <v>396</v>
      </c>
      <c r="F366" t="s">
        <v>334</v>
      </c>
      <c r="G366" t="s">
        <v>25</v>
      </c>
      <c r="H366" t="s">
        <v>337</v>
      </c>
      <c r="I366">
        <v>7</v>
      </c>
      <c r="J366">
        <v>3</v>
      </c>
      <c r="K366" s="20">
        <v>1000</v>
      </c>
      <c r="L366" t="s">
        <v>268</v>
      </c>
      <c r="M366" t="s">
        <v>87</v>
      </c>
      <c r="N366" t="s">
        <v>26</v>
      </c>
    </row>
    <row r="367" spans="1:14" x14ac:dyDescent="0.3">
      <c r="A367" s="8">
        <v>45868</v>
      </c>
      <c r="B367" t="s">
        <v>230</v>
      </c>
      <c r="C367" t="s">
        <v>233</v>
      </c>
      <c r="D367" s="20">
        <v>10015</v>
      </c>
      <c r="E367" t="s">
        <v>291</v>
      </c>
      <c r="F367" t="s">
        <v>333</v>
      </c>
      <c r="G367" t="s">
        <v>25</v>
      </c>
      <c r="H367" t="s">
        <v>336</v>
      </c>
      <c r="I367">
        <v>7</v>
      </c>
      <c r="J367">
        <v>3</v>
      </c>
      <c r="K367" s="20">
        <v>-10015</v>
      </c>
      <c r="L367" t="s">
        <v>269</v>
      </c>
      <c r="M367" t="s">
        <v>51</v>
      </c>
      <c r="N367" t="s">
        <v>26</v>
      </c>
    </row>
    <row r="368" spans="1:14" x14ac:dyDescent="0.3">
      <c r="A368" s="8">
        <v>45868</v>
      </c>
      <c r="B368" t="s">
        <v>230</v>
      </c>
      <c r="C368" t="s">
        <v>357</v>
      </c>
      <c r="D368" s="20">
        <v>9305.2099999999991</v>
      </c>
      <c r="E368" t="s">
        <v>302</v>
      </c>
      <c r="F368" t="s">
        <v>333</v>
      </c>
      <c r="G368" t="s">
        <v>117</v>
      </c>
      <c r="H368" t="s">
        <v>336</v>
      </c>
      <c r="I368">
        <v>7</v>
      </c>
      <c r="J368">
        <v>3</v>
      </c>
      <c r="K368" s="20">
        <v>-9305.2099999999991</v>
      </c>
      <c r="L368" t="s">
        <v>269</v>
      </c>
      <c r="M368" t="s">
        <v>118</v>
      </c>
      <c r="N368" t="s">
        <v>103</v>
      </c>
    </row>
    <row r="369" spans="1:14" x14ac:dyDescent="0.3">
      <c r="A369" s="8">
        <v>45869</v>
      </c>
      <c r="B369" t="s">
        <v>230</v>
      </c>
      <c r="C369" t="s">
        <v>224</v>
      </c>
      <c r="D369" s="20">
        <v>8015</v>
      </c>
      <c r="E369" t="s">
        <v>272</v>
      </c>
      <c r="F369" t="s">
        <v>333</v>
      </c>
      <c r="G369" t="s">
        <v>136</v>
      </c>
      <c r="H369" t="s">
        <v>336</v>
      </c>
      <c r="I369">
        <v>7</v>
      </c>
      <c r="J369">
        <v>3</v>
      </c>
      <c r="K369" s="20">
        <v>-8015</v>
      </c>
      <c r="L369" t="s">
        <v>269</v>
      </c>
      <c r="M369" t="s">
        <v>137</v>
      </c>
      <c r="N369" t="s">
        <v>135</v>
      </c>
    </row>
    <row r="370" spans="1:14" x14ac:dyDescent="0.3">
      <c r="A370" s="8">
        <v>45869</v>
      </c>
      <c r="B370" t="s">
        <v>230</v>
      </c>
      <c r="C370" t="s">
        <v>342</v>
      </c>
      <c r="D370" s="20">
        <v>6505</v>
      </c>
      <c r="E370" t="s">
        <v>273</v>
      </c>
      <c r="F370" t="s">
        <v>333</v>
      </c>
      <c r="G370" t="s">
        <v>98</v>
      </c>
      <c r="H370" t="s">
        <v>336</v>
      </c>
      <c r="I370">
        <v>7</v>
      </c>
      <c r="J370">
        <v>3</v>
      </c>
      <c r="K370" s="20">
        <v>-6505</v>
      </c>
      <c r="L370" t="s">
        <v>269</v>
      </c>
      <c r="M370" t="s">
        <v>116</v>
      </c>
      <c r="N370" t="s">
        <v>94</v>
      </c>
    </row>
    <row r="371" spans="1:14" x14ac:dyDescent="0.3">
      <c r="A371" s="8">
        <v>45869</v>
      </c>
      <c r="B371" t="s">
        <v>230</v>
      </c>
      <c r="C371" t="s">
        <v>242</v>
      </c>
      <c r="D371" s="20">
        <v>1000</v>
      </c>
      <c r="E371" t="s">
        <v>421</v>
      </c>
      <c r="F371" t="s">
        <v>334</v>
      </c>
      <c r="G371" t="s">
        <v>25</v>
      </c>
      <c r="H371" t="s">
        <v>337</v>
      </c>
      <c r="I371">
        <v>7</v>
      </c>
      <c r="J371">
        <v>3</v>
      </c>
      <c r="K371" s="20">
        <v>1000</v>
      </c>
      <c r="L371" t="s">
        <v>268</v>
      </c>
      <c r="M371" t="s">
        <v>50</v>
      </c>
      <c r="N371" t="s">
        <v>26</v>
      </c>
    </row>
    <row r="372" spans="1:14" x14ac:dyDescent="0.3">
      <c r="A372" s="8">
        <v>45869</v>
      </c>
      <c r="B372" t="s">
        <v>230</v>
      </c>
      <c r="C372" t="s">
        <v>242</v>
      </c>
      <c r="D372" s="20">
        <v>3000</v>
      </c>
      <c r="E372" t="s">
        <v>421</v>
      </c>
      <c r="F372" t="s">
        <v>334</v>
      </c>
      <c r="G372" t="s">
        <v>25</v>
      </c>
      <c r="H372" t="s">
        <v>337</v>
      </c>
      <c r="I372">
        <v>7</v>
      </c>
      <c r="J372">
        <v>3</v>
      </c>
      <c r="K372" s="20">
        <v>3000</v>
      </c>
      <c r="L372" t="s">
        <v>268</v>
      </c>
      <c r="M372" t="s">
        <v>50</v>
      </c>
      <c r="N372" t="s">
        <v>26</v>
      </c>
    </row>
    <row r="373" spans="1:14" x14ac:dyDescent="0.3">
      <c r="A373" s="8">
        <v>45869</v>
      </c>
      <c r="B373" t="s">
        <v>230</v>
      </c>
      <c r="C373" t="s">
        <v>236</v>
      </c>
      <c r="D373" s="20">
        <v>5015</v>
      </c>
      <c r="E373" t="s">
        <v>272</v>
      </c>
      <c r="F373" t="s">
        <v>333</v>
      </c>
      <c r="G373" t="s">
        <v>136</v>
      </c>
      <c r="H373" t="s">
        <v>336</v>
      </c>
      <c r="I373">
        <v>7</v>
      </c>
      <c r="J373">
        <v>3</v>
      </c>
      <c r="K373" s="20">
        <v>-5015</v>
      </c>
      <c r="L373" t="s">
        <v>269</v>
      </c>
      <c r="M373" t="s">
        <v>137</v>
      </c>
      <c r="N373" t="s">
        <v>135</v>
      </c>
    </row>
    <row r="374" spans="1:14" x14ac:dyDescent="0.3">
      <c r="A374" s="8">
        <v>45869</v>
      </c>
      <c r="B374" t="s">
        <v>230</v>
      </c>
      <c r="C374" t="s">
        <v>220</v>
      </c>
      <c r="D374" s="20">
        <v>2000</v>
      </c>
      <c r="E374" t="s">
        <v>422</v>
      </c>
      <c r="F374" t="s">
        <v>334</v>
      </c>
      <c r="G374" t="s">
        <v>25</v>
      </c>
      <c r="H374" t="s">
        <v>337</v>
      </c>
      <c r="I374">
        <v>7</v>
      </c>
      <c r="J374">
        <v>3</v>
      </c>
      <c r="K374" s="20">
        <v>2000</v>
      </c>
      <c r="L374" t="s">
        <v>268</v>
      </c>
      <c r="M374" t="s">
        <v>79</v>
      </c>
      <c r="N374" t="s">
        <v>26</v>
      </c>
    </row>
    <row r="375" spans="1:14" x14ac:dyDescent="0.3">
      <c r="A375" s="8">
        <v>45869</v>
      </c>
      <c r="B375" t="s">
        <v>230</v>
      </c>
      <c r="C375" t="s">
        <v>177</v>
      </c>
      <c r="D375" s="20">
        <v>15500</v>
      </c>
      <c r="E375" t="s">
        <v>373</v>
      </c>
      <c r="F375" t="s">
        <v>334</v>
      </c>
      <c r="G375" t="s">
        <v>139</v>
      </c>
      <c r="H375" t="s">
        <v>337</v>
      </c>
      <c r="I375">
        <v>7</v>
      </c>
      <c r="J375">
        <v>3</v>
      </c>
      <c r="K375" s="20">
        <v>15500</v>
      </c>
      <c r="L375" t="s">
        <v>268</v>
      </c>
      <c r="M375" t="s">
        <v>141</v>
      </c>
      <c r="N375" t="s">
        <v>26</v>
      </c>
    </row>
    <row r="376" spans="1:14" x14ac:dyDescent="0.3">
      <c r="A376" s="8">
        <v>45870</v>
      </c>
      <c r="B376" t="s">
        <v>243</v>
      </c>
      <c r="C376" t="s">
        <v>148</v>
      </c>
      <c r="D376" s="20">
        <v>26015</v>
      </c>
      <c r="E376" t="s">
        <v>324</v>
      </c>
      <c r="F376" t="s">
        <v>333</v>
      </c>
      <c r="G376" t="s">
        <v>139</v>
      </c>
      <c r="H376" t="s">
        <v>336</v>
      </c>
      <c r="I376">
        <v>8</v>
      </c>
      <c r="J376">
        <v>3</v>
      </c>
      <c r="K376" s="20">
        <v>-26015</v>
      </c>
      <c r="L376" t="s">
        <v>269</v>
      </c>
      <c r="M376" t="s">
        <v>322</v>
      </c>
      <c r="N376" t="s">
        <v>138</v>
      </c>
    </row>
    <row r="377" spans="1:14" x14ac:dyDescent="0.3">
      <c r="A377" s="8">
        <v>45870</v>
      </c>
      <c r="B377" t="s">
        <v>243</v>
      </c>
      <c r="C377" t="s">
        <v>167</v>
      </c>
      <c r="D377" s="20">
        <v>3600</v>
      </c>
      <c r="E377" t="s">
        <v>365</v>
      </c>
      <c r="F377" t="s">
        <v>334</v>
      </c>
      <c r="G377" t="s">
        <v>25</v>
      </c>
      <c r="H377" t="s">
        <v>337</v>
      </c>
      <c r="I377">
        <v>8</v>
      </c>
      <c r="J377">
        <v>3</v>
      </c>
      <c r="K377" s="20">
        <v>3600</v>
      </c>
      <c r="L377" t="s">
        <v>268</v>
      </c>
      <c r="M377" t="s">
        <v>49</v>
      </c>
      <c r="N377" t="s">
        <v>26</v>
      </c>
    </row>
    <row r="378" spans="1:14" x14ac:dyDescent="0.3">
      <c r="A378" s="8">
        <v>45871</v>
      </c>
      <c r="B378" t="s">
        <v>243</v>
      </c>
      <c r="C378" t="s">
        <v>344</v>
      </c>
      <c r="D378" s="20">
        <v>1500</v>
      </c>
      <c r="E378" t="s">
        <v>280</v>
      </c>
      <c r="F378" t="s">
        <v>333</v>
      </c>
      <c r="G378" t="s">
        <v>10</v>
      </c>
      <c r="H378" t="s">
        <v>336</v>
      </c>
      <c r="I378">
        <v>8</v>
      </c>
      <c r="J378">
        <v>3</v>
      </c>
      <c r="K378" s="20">
        <v>-1500</v>
      </c>
      <c r="L378" t="s">
        <v>269</v>
      </c>
      <c r="M378" t="s">
        <v>4</v>
      </c>
      <c r="N378" t="s">
        <v>120</v>
      </c>
    </row>
    <row r="379" spans="1:14" x14ac:dyDescent="0.3">
      <c r="A379" s="8">
        <v>45871</v>
      </c>
      <c r="B379" t="s">
        <v>243</v>
      </c>
      <c r="C379" t="s">
        <v>174</v>
      </c>
      <c r="D379" s="20">
        <v>862</v>
      </c>
      <c r="E379" t="s">
        <v>371</v>
      </c>
      <c r="F379" t="s">
        <v>334</v>
      </c>
      <c r="G379" t="s">
        <v>25</v>
      </c>
      <c r="H379" t="s">
        <v>337</v>
      </c>
      <c r="I379">
        <v>8</v>
      </c>
      <c r="J379">
        <v>3</v>
      </c>
      <c r="K379" s="20">
        <v>862</v>
      </c>
      <c r="L379" t="s">
        <v>268</v>
      </c>
      <c r="M379" t="s">
        <v>60</v>
      </c>
      <c r="N379" t="s">
        <v>26</v>
      </c>
    </row>
    <row r="380" spans="1:14" x14ac:dyDescent="0.3">
      <c r="A380" s="8">
        <v>45871</v>
      </c>
      <c r="B380" t="s">
        <v>243</v>
      </c>
      <c r="C380" t="s">
        <v>200</v>
      </c>
      <c r="D380" s="20">
        <v>3250</v>
      </c>
      <c r="E380" t="s">
        <v>423</v>
      </c>
      <c r="F380" t="s">
        <v>334</v>
      </c>
      <c r="G380" t="s">
        <v>5</v>
      </c>
      <c r="H380" t="s">
        <v>337</v>
      </c>
      <c r="I380">
        <v>8</v>
      </c>
      <c r="J380">
        <v>3</v>
      </c>
      <c r="K380" s="20">
        <v>3250</v>
      </c>
      <c r="L380" t="s">
        <v>268</v>
      </c>
      <c r="M380" t="s">
        <v>5</v>
      </c>
      <c r="N380" t="s">
        <v>26</v>
      </c>
    </row>
    <row r="381" spans="1:14" x14ac:dyDescent="0.3">
      <c r="A381" s="8">
        <v>45872</v>
      </c>
      <c r="B381" t="s">
        <v>243</v>
      </c>
      <c r="C381" t="s">
        <v>222</v>
      </c>
      <c r="D381" s="20">
        <v>1000</v>
      </c>
      <c r="E381" t="s">
        <v>272</v>
      </c>
      <c r="F381" t="s">
        <v>333</v>
      </c>
      <c r="G381" t="s">
        <v>136</v>
      </c>
      <c r="H381" t="s">
        <v>336</v>
      </c>
      <c r="I381">
        <v>8</v>
      </c>
      <c r="J381">
        <v>3</v>
      </c>
      <c r="K381" s="20">
        <v>-1000</v>
      </c>
      <c r="L381" t="s">
        <v>269</v>
      </c>
      <c r="M381" t="s">
        <v>137</v>
      </c>
      <c r="N381" t="s">
        <v>135</v>
      </c>
    </row>
    <row r="382" spans="1:14" x14ac:dyDescent="0.3">
      <c r="A382" s="8">
        <v>45874</v>
      </c>
      <c r="B382" t="s">
        <v>243</v>
      </c>
      <c r="C382" t="s">
        <v>204</v>
      </c>
      <c r="D382" s="20">
        <v>2500</v>
      </c>
      <c r="E382" t="s">
        <v>404</v>
      </c>
      <c r="F382" t="s">
        <v>334</v>
      </c>
      <c r="G382" t="s">
        <v>25</v>
      </c>
      <c r="H382" t="s">
        <v>337</v>
      </c>
      <c r="I382">
        <v>8</v>
      </c>
      <c r="J382">
        <v>3</v>
      </c>
      <c r="K382" s="20">
        <v>2500</v>
      </c>
      <c r="L382" t="s">
        <v>268</v>
      </c>
      <c r="M382" t="s">
        <v>64</v>
      </c>
      <c r="N382" t="s">
        <v>26</v>
      </c>
    </row>
    <row r="383" spans="1:14" x14ac:dyDescent="0.3">
      <c r="A383" s="8">
        <v>45875</v>
      </c>
      <c r="B383" t="s">
        <v>243</v>
      </c>
      <c r="C383" t="s">
        <v>164</v>
      </c>
      <c r="D383" s="20">
        <v>2200</v>
      </c>
      <c r="E383" t="s">
        <v>379</v>
      </c>
      <c r="F383" t="s">
        <v>334</v>
      </c>
      <c r="G383" t="s">
        <v>25</v>
      </c>
      <c r="H383" t="s">
        <v>337</v>
      </c>
      <c r="I383">
        <v>8</v>
      </c>
      <c r="J383">
        <v>3</v>
      </c>
      <c r="K383" s="20">
        <v>2200</v>
      </c>
      <c r="L383" t="s">
        <v>268</v>
      </c>
      <c r="M383" t="s">
        <v>321</v>
      </c>
      <c r="N383" t="s">
        <v>26</v>
      </c>
    </row>
    <row r="384" spans="1:14" x14ac:dyDescent="0.3">
      <c r="A384" s="8">
        <v>45876</v>
      </c>
      <c r="B384" t="s">
        <v>243</v>
      </c>
      <c r="C384" t="s">
        <v>212</v>
      </c>
      <c r="D384" s="20">
        <v>1000</v>
      </c>
      <c r="E384" t="s">
        <v>272</v>
      </c>
      <c r="F384" t="s">
        <v>333</v>
      </c>
      <c r="G384" t="s">
        <v>136</v>
      </c>
      <c r="H384" t="s">
        <v>336</v>
      </c>
      <c r="I384">
        <v>8</v>
      </c>
      <c r="J384">
        <v>3</v>
      </c>
      <c r="K384" s="20">
        <v>-1000</v>
      </c>
      <c r="L384" t="s">
        <v>269</v>
      </c>
      <c r="M384" t="s">
        <v>137</v>
      </c>
      <c r="N384" t="s">
        <v>135</v>
      </c>
    </row>
    <row r="385" spans="1:14" x14ac:dyDescent="0.3">
      <c r="A385" s="8">
        <v>45877</v>
      </c>
      <c r="B385" t="s">
        <v>243</v>
      </c>
      <c r="C385" t="s">
        <v>246</v>
      </c>
      <c r="D385" s="20">
        <v>1700</v>
      </c>
      <c r="E385" t="s">
        <v>424</v>
      </c>
      <c r="F385" t="s">
        <v>334</v>
      </c>
      <c r="G385" t="s">
        <v>25</v>
      </c>
      <c r="H385" t="s">
        <v>337</v>
      </c>
      <c r="I385">
        <v>8</v>
      </c>
      <c r="J385">
        <v>3</v>
      </c>
      <c r="K385" s="20">
        <v>1700</v>
      </c>
      <c r="L385" t="s">
        <v>268</v>
      </c>
      <c r="M385" t="s">
        <v>67</v>
      </c>
      <c r="N385" t="s">
        <v>26</v>
      </c>
    </row>
    <row r="386" spans="1:14" x14ac:dyDescent="0.3">
      <c r="A386" s="8">
        <v>45880</v>
      </c>
      <c r="B386" t="s">
        <v>243</v>
      </c>
      <c r="C386" t="s">
        <v>244</v>
      </c>
      <c r="D386" s="20">
        <v>2000</v>
      </c>
      <c r="E386" t="s">
        <v>272</v>
      </c>
      <c r="F386" t="s">
        <v>333</v>
      </c>
      <c r="G386" t="s">
        <v>136</v>
      </c>
      <c r="H386" t="s">
        <v>336</v>
      </c>
      <c r="I386">
        <v>8</v>
      </c>
      <c r="J386">
        <v>3</v>
      </c>
      <c r="K386" s="20">
        <v>-2000</v>
      </c>
      <c r="L386" t="s">
        <v>269</v>
      </c>
      <c r="M386" t="s">
        <v>137</v>
      </c>
      <c r="N386" t="s">
        <v>135</v>
      </c>
    </row>
    <row r="387" spans="1:14" x14ac:dyDescent="0.3">
      <c r="A387" s="8">
        <v>45880</v>
      </c>
      <c r="B387" t="s">
        <v>243</v>
      </c>
      <c r="C387" t="s">
        <v>202</v>
      </c>
      <c r="D387" s="20">
        <v>2000</v>
      </c>
      <c r="E387" t="s">
        <v>403</v>
      </c>
      <c r="F387" t="s">
        <v>334</v>
      </c>
      <c r="G387" t="s">
        <v>25</v>
      </c>
      <c r="H387" t="s">
        <v>337</v>
      </c>
      <c r="I387">
        <v>8</v>
      </c>
      <c r="J387">
        <v>3</v>
      </c>
      <c r="K387" s="20">
        <v>2000</v>
      </c>
      <c r="L387" t="s">
        <v>268</v>
      </c>
      <c r="M387" t="s">
        <v>80</v>
      </c>
      <c r="N387" t="s">
        <v>26</v>
      </c>
    </row>
    <row r="388" spans="1:14" x14ac:dyDescent="0.3">
      <c r="A388" s="8">
        <v>45882</v>
      </c>
      <c r="B388" t="s">
        <v>243</v>
      </c>
      <c r="C388" t="s">
        <v>172</v>
      </c>
      <c r="D388" s="20">
        <v>3600</v>
      </c>
      <c r="E388" t="s">
        <v>370</v>
      </c>
      <c r="F388" t="s">
        <v>334</v>
      </c>
      <c r="G388" t="s">
        <v>25</v>
      </c>
      <c r="H388" t="s">
        <v>337</v>
      </c>
      <c r="I388">
        <v>8</v>
      </c>
      <c r="J388">
        <v>3</v>
      </c>
      <c r="K388" s="20">
        <v>3600</v>
      </c>
      <c r="L388" t="s">
        <v>268</v>
      </c>
      <c r="M388" t="s">
        <v>58</v>
      </c>
      <c r="N388" t="s">
        <v>26</v>
      </c>
    </row>
    <row r="389" spans="1:14" x14ac:dyDescent="0.3">
      <c r="A389" s="8">
        <v>45882</v>
      </c>
      <c r="B389" t="s">
        <v>243</v>
      </c>
      <c r="C389" t="s">
        <v>145</v>
      </c>
      <c r="D389" s="20">
        <v>21</v>
      </c>
      <c r="E389" t="s">
        <v>326</v>
      </c>
      <c r="F389" t="s">
        <v>333</v>
      </c>
      <c r="G389" t="s">
        <v>319</v>
      </c>
      <c r="H389" t="s">
        <v>336</v>
      </c>
      <c r="I389">
        <v>8</v>
      </c>
      <c r="J389">
        <v>3</v>
      </c>
      <c r="K389" s="20">
        <v>-21</v>
      </c>
      <c r="L389" t="s">
        <v>269</v>
      </c>
      <c r="M389" t="s">
        <v>318</v>
      </c>
      <c r="N389" t="s">
        <v>90</v>
      </c>
    </row>
    <row r="390" spans="1:14" x14ac:dyDescent="0.3">
      <c r="A390" s="8">
        <v>45882</v>
      </c>
      <c r="B390" t="s">
        <v>243</v>
      </c>
      <c r="C390" t="s">
        <v>343</v>
      </c>
      <c r="D390" s="20">
        <v>5259.37</v>
      </c>
      <c r="E390" t="s">
        <v>312</v>
      </c>
      <c r="F390" t="s">
        <v>333</v>
      </c>
      <c r="G390" t="s">
        <v>122</v>
      </c>
      <c r="H390" t="s">
        <v>336</v>
      </c>
      <c r="I390">
        <v>8</v>
      </c>
      <c r="J390">
        <v>3</v>
      </c>
      <c r="K390" s="20">
        <v>-5259.37</v>
      </c>
      <c r="L390" t="s">
        <v>269</v>
      </c>
      <c r="M390" t="s">
        <v>311</v>
      </c>
      <c r="N390" t="s">
        <v>121</v>
      </c>
    </row>
    <row r="391" spans="1:14" x14ac:dyDescent="0.3">
      <c r="A391" s="8">
        <v>45884</v>
      </c>
      <c r="B391" t="s">
        <v>243</v>
      </c>
      <c r="C391" t="s">
        <v>185</v>
      </c>
      <c r="D391" s="20">
        <v>3000</v>
      </c>
      <c r="E391" t="s">
        <v>281</v>
      </c>
      <c r="F391" t="s">
        <v>333</v>
      </c>
      <c r="G391" t="s">
        <v>105</v>
      </c>
      <c r="H391" t="s">
        <v>336</v>
      </c>
      <c r="I391">
        <v>8</v>
      </c>
      <c r="J391">
        <v>3</v>
      </c>
      <c r="K391" s="20">
        <v>-3000</v>
      </c>
      <c r="L391" t="s">
        <v>269</v>
      </c>
      <c r="M391" t="s">
        <v>142</v>
      </c>
      <c r="N391" t="s">
        <v>335</v>
      </c>
    </row>
    <row r="392" spans="1:14" x14ac:dyDescent="0.3">
      <c r="A392" s="8">
        <v>45884</v>
      </c>
      <c r="B392" t="s">
        <v>243</v>
      </c>
      <c r="C392" t="s">
        <v>233</v>
      </c>
      <c r="D392" s="20">
        <v>10015</v>
      </c>
      <c r="E392" t="s">
        <v>291</v>
      </c>
      <c r="F392" t="s">
        <v>333</v>
      </c>
      <c r="G392" t="s">
        <v>25</v>
      </c>
      <c r="H392" t="s">
        <v>336</v>
      </c>
      <c r="I392">
        <v>8</v>
      </c>
      <c r="J392">
        <v>3</v>
      </c>
      <c r="K392" s="20">
        <v>-10015</v>
      </c>
      <c r="L392" t="s">
        <v>269</v>
      </c>
      <c r="M392" t="s">
        <v>51</v>
      </c>
      <c r="N392" t="s">
        <v>26</v>
      </c>
    </row>
    <row r="393" spans="1:14" x14ac:dyDescent="0.3">
      <c r="A393" s="8">
        <v>45884</v>
      </c>
      <c r="B393" t="s">
        <v>243</v>
      </c>
      <c r="C393" t="s">
        <v>220</v>
      </c>
      <c r="D393" s="20">
        <v>2000</v>
      </c>
      <c r="E393" t="s">
        <v>422</v>
      </c>
      <c r="F393" t="s">
        <v>334</v>
      </c>
      <c r="G393" t="s">
        <v>25</v>
      </c>
      <c r="H393" t="s">
        <v>337</v>
      </c>
      <c r="I393">
        <v>8</v>
      </c>
      <c r="J393">
        <v>3</v>
      </c>
      <c r="K393" s="20">
        <v>2000</v>
      </c>
      <c r="L393" t="s">
        <v>268</v>
      </c>
      <c r="M393" t="s">
        <v>79</v>
      </c>
      <c r="N393" t="s">
        <v>26</v>
      </c>
    </row>
    <row r="394" spans="1:14" x14ac:dyDescent="0.3">
      <c r="A394" s="8">
        <v>45884</v>
      </c>
      <c r="B394" t="s">
        <v>243</v>
      </c>
      <c r="C394" t="s">
        <v>247</v>
      </c>
      <c r="D394" s="20">
        <v>2400</v>
      </c>
      <c r="E394" t="s">
        <v>425</v>
      </c>
      <c r="F394" t="s">
        <v>334</v>
      </c>
      <c r="G394" t="s">
        <v>25</v>
      </c>
      <c r="H394" t="s">
        <v>337</v>
      </c>
      <c r="I394">
        <v>8</v>
      </c>
      <c r="J394">
        <v>3</v>
      </c>
      <c r="K394" s="20">
        <v>2400</v>
      </c>
      <c r="L394" t="s">
        <v>268</v>
      </c>
      <c r="M394" t="s">
        <v>78</v>
      </c>
      <c r="N394" t="s">
        <v>26</v>
      </c>
    </row>
    <row r="395" spans="1:14" x14ac:dyDescent="0.3">
      <c r="A395" s="8">
        <v>45884</v>
      </c>
      <c r="B395" t="s">
        <v>243</v>
      </c>
      <c r="C395" t="s">
        <v>166</v>
      </c>
      <c r="D395" s="20">
        <v>1200</v>
      </c>
      <c r="E395" t="s">
        <v>364</v>
      </c>
      <c r="F395" t="s">
        <v>334</v>
      </c>
      <c r="G395" t="s">
        <v>25</v>
      </c>
      <c r="H395" t="s">
        <v>337</v>
      </c>
      <c r="I395">
        <v>8</v>
      </c>
      <c r="J395">
        <v>3</v>
      </c>
      <c r="K395" s="20">
        <v>1200</v>
      </c>
      <c r="L395" t="s">
        <v>268</v>
      </c>
      <c r="M395" t="s">
        <v>84</v>
      </c>
      <c r="N395" t="s">
        <v>26</v>
      </c>
    </row>
    <row r="396" spans="1:14" x14ac:dyDescent="0.3">
      <c r="A396" s="8">
        <v>45884</v>
      </c>
      <c r="B396" t="s">
        <v>243</v>
      </c>
      <c r="C396" t="s">
        <v>217</v>
      </c>
      <c r="D396" s="20">
        <v>3000</v>
      </c>
      <c r="E396" t="s">
        <v>419</v>
      </c>
      <c r="F396" t="s">
        <v>334</v>
      </c>
      <c r="G396" t="s">
        <v>25</v>
      </c>
      <c r="H396" t="s">
        <v>337</v>
      </c>
      <c r="I396">
        <v>8</v>
      </c>
      <c r="J396">
        <v>3</v>
      </c>
      <c r="K396" s="20">
        <v>3000</v>
      </c>
      <c r="L396" t="s">
        <v>268</v>
      </c>
      <c r="M396" t="s">
        <v>36</v>
      </c>
      <c r="N396" t="s">
        <v>26</v>
      </c>
    </row>
    <row r="397" spans="1:14" x14ac:dyDescent="0.3">
      <c r="A397" s="8">
        <v>45884</v>
      </c>
      <c r="B397" t="s">
        <v>243</v>
      </c>
      <c r="C397" t="s">
        <v>233</v>
      </c>
      <c r="D397" s="20">
        <v>2000</v>
      </c>
      <c r="E397" t="s">
        <v>420</v>
      </c>
      <c r="F397" t="s">
        <v>334</v>
      </c>
      <c r="G397" t="s">
        <v>25</v>
      </c>
      <c r="H397" t="s">
        <v>337</v>
      </c>
      <c r="I397">
        <v>8</v>
      </c>
      <c r="J397">
        <v>3</v>
      </c>
      <c r="K397" s="20">
        <v>2000</v>
      </c>
      <c r="L397" t="s">
        <v>268</v>
      </c>
      <c r="M397" t="s">
        <v>51</v>
      </c>
      <c r="N397" t="s">
        <v>26</v>
      </c>
    </row>
    <row r="398" spans="1:14" x14ac:dyDescent="0.3">
      <c r="A398" s="8">
        <v>45884</v>
      </c>
      <c r="B398" t="s">
        <v>243</v>
      </c>
      <c r="C398" t="s">
        <v>167</v>
      </c>
      <c r="D398" s="20">
        <v>1800</v>
      </c>
      <c r="E398" t="s">
        <v>365</v>
      </c>
      <c r="F398" t="s">
        <v>334</v>
      </c>
      <c r="G398" t="s">
        <v>25</v>
      </c>
      <c r="H398" t="s">
        <v>337</v>
      </c>
      <c r="I398">
        <v>8</v>
      </c>
      <c r="J398">
        <v>3</v>
      </c>
      <c r="K398" s="20">
        <v>1800</v>
      </c>
      <c r="L398" t="s">
        <v>268</v>
      </c>
      <c r="M398" t="s">
        <v>49</v>
      </c>
      <c r="N398" t="s">
        <v>26</v>
      </c>
    </row>
    <row r="399" spans="1:14" x14ac:dyDescent="0.3">
      <c r="A399" s="8">
        <v>45885</v>
      </c>
      <c r="B399" t="s">
        <v>243</v>
      </c>
      <c r="C399" t="s">
        <v>194</v>
      </c>
      <c r="D399" s="20">
        <v>3000</v>
      </c>
      <c r="E399" t="s">
        <v>396</v>
      </c>
      <c r="F399" t="s">
        <v>334</v>
      </c>
      <c r="G399" t="s">
        <v>25</v>
      </c>
      <c r="H399" t="s">
        <v>337</v>
      </c>
      <c r="I399">
        <v>8</v>
      </c>
      <c r="J399">
        <v>3</v>
      </c>
      <c r="K399" s="20">
        <v>3000</v>
      </c>
      <c r="L399" t="s">
        <v>268</v>
      </c>
      <c r="M399" t="s">
        <v>87</v>
      </c>
      <c r="N399" t="s">
        <v>26</v>
      </c>
    </row>
    <row r="400" spans="1:14" x14ac:dyDescent="0.3">
      <c r="A400" s="8">
        <v>45886</v>
      </c>
      <c r="B400" t="s">
        <v>243</v>
      </c>
      <c r="C400" t="s">
        <v>343</v>
      </c>
      <c r="D400" s="20">
        <v>2730.87</v>
      </c>
      <c r="E400" t="s">
        <v>312</v>
      </c>
      <c r="F400" t="s">
        <v>333</v>
      </c>
      <c r="G400" t="s">
        <v>122</v>
      </c>
      <c r="H400" t="s">
        <v>336</v>
      </c>
      <c r="I400">
        <v>8</v>
      </c>
      <c r="J400">
        <v>3</v>
      </c>
      <c r="K400" s="20">
        <v>-2730.87</v>
      </c>
      <c r="L400" t="s">
        <v>269</v>
      </c>
      <c r="M400" t="s">
        <v>311</v>
      </c>
      <c r="N400" t="s">
        <v>121</v>
      </c>
    </row>
    <row r="401" spans="1:14" x14ac:dyDescent="0.3">
      <c r="A401" s="8">
        <v>45886</v>
      </c>
      <c r="B401" t="s">
        <v>243</v>
      </c>
      <c r="C401" t="s">
        <v>248</v>
      </c>
      <c r="D401" s="20">
        <v>2000</v>
      </c>
      <c r="E401" t="s">
        <v>426</v>
      </c>
      <c r="F401" t="s">
        <v>334</v>
      </c>
      <c r="G401" t="s">
        <v>25</v>
      </c>
      <c r="H401" t="s">
        <v>337</v>
      </c>
      <c r="I401">
        <v>8</v>
      </c>
      <c r="J401">
        <v>3</v>
      </c>
      <c r="K401" s="20">
        <v>2000</v>
      </c>
      <c r="L401" t="s">
        <v>268</v>
      </c>
      <c r="M401" t="s">
        <v>71</v>
      </c>
      <c r="N401" t="s">
        <v>26</v>
      </c>
    </row>
    <row r="402" spans="1:14" x14ac:dyDescent="0.3">
      <c r="A402" s="8">
        <v>45886</v>
      </c>
      <c r="B402" t="s">
        <v>243</v>
      </c>
      <c r="C402" t="s">
        <v>245</v>
      </c>
      <c r="D402" s="20">
        <v>2000</v>
      </c>
      <c r="E402" t="s">
        <v>272</v>
      </c>
      <c r="F402" t="s">
        <v>333</v>
      </c>
      <c r="G402" t="s">
        <v>136</v>
      </c>
      <c r="H402" t="s">
        <v>336</v>
      </c>
      <c r="I402">
        <v>8</v>
      </c>
      <c r="J402">
        <v>3</v>
      </c>
      <c r="K402" s="20">
        <v>-2000</v>
      </c>
      <c r="L402" t="s">
        <v>269</v>
      </c>
      <c r="M402" t="s">
        <v>137</v>
      </c>
      <c r="N402" t="s">
        <v>135</v>
      </c>
    </row>
    <row r="403" spans="1:14" x14ac:dyDescent="0.3">
      <c r="A403" s="8">
        <v>45886</v>
      </c>
      <c r="B403" t="s">
        <v>243</v>
      </c>
      <c r="C403" t="s">
        <v>148</v>
      </c>
      <c r="D403" s="20">
        <v>17015</v>
      </c>
      <c r="E403" t="s">
        <v>324</v>
      </c>
      <c r="F403" t="s">
        <v>333</v>
      </c>
      <c r="G403" t="s">
        <v>139</v>
      </c>
      <c r="H403" t="s">
        <v>336</v>
      </c>
      <c r="I403">
        <v>8</v>
      </c>
      <c r="J403">
        <v>3</v>
      </c>
      <c r="K403" s="20">
        <v>-17015</v>
      </c>
      <c r="L403" t="s">
        <v>269</v>
      </c>
      <c r="M403" t="s">
        <v>322</v>
      </c>
      <c r="N403" t="s">
        <v>138</v>
      </c>
    </row>
    <row r="404" spans="1:14" x14ac:dyDescent="0.3">
      <c r="A404" s="8">
        <v>45893</v>
      </c>
      <c r="B404" t="s">
        <v>243</v>
      </c>
      <c r="C404" t="s">
        <v>349</v>
      </c>
      <c r="D404" s="20">
        <v>2000</v>
      </c>
      <c r="E404" t="s">
        <v>413</v>
      </c>
      <c r="F404" t="s">
        <v>334</v>
      </c>
      <c r="G404" t="s">
        <v>89</v>
      </c>
      <c r="H404" t="s">
        <v>337</v>
      </c>
      <c r="I404">
        <v>8</v>
      </c>
      <c r="J404">
        <v>3</v>
      </c>
      <c r="K404" s="20">
        <v>2000</v>
      </c>
      <c r="L404" t="s">
        <v>268</v>
      </c>
      <c r="M404" t="s">
        <v>88</v>
      </c>
      <c r="N404" t="s">
        <v>26</v>
      </c>
    </row>
    <row r="405" spans="1:14" x14ac:dyDescent="0.3">
      <c r="A405" s="8">
        <v>45893</v>
      </c>
      <c r="B405" t="s">
        <v>243</v>
      </c>
      <c r="C405" t="s">
        <v>152</v>
      </c>
      <c r="D405" s="20">
        <v>5000</v>
      </c>
      <c r="E405" t="s">
        <v>271</v>
      </c>
      <c r="F405" t="s">
        <v>333</v>
      </c>
      <c r="G405" t="s">
        <v>25</v>
      </c>
      <c r="H405" t="s">
        <v>336</v>
      </c>
      <c r="I405">
        <v>8</v>
      </c>
      <c r="J405">
        <v>3</v>
      </c>
      <c r="K405" s="20">
        <v>-5000</v>
      </c>
      <c r="L405" t="s">
        <v>269</v>
      </c>
      <c r="M405" t="s">
        <v>77</v>
      </c>
      <c r="N405" t="s">
        <v>26</v>
      </c>
    </row>
    <row r="406" spans="1:14" x14ac:dyDescent="0.3">
      <c r="A406" s="8">
        <v>45893</v>
      </c>
      <c r="B406" t="s">
        <v>243</v>
      </c>
      <c r="C406" t="s">
        <v>152</v>
      </c>
      <c r="D406" s="20">
        <v>1500</v>
      </c>
      <c r="E406" t="s">
        <v>386</v>
      </c>
      <c r="F406" t="s">
        <v>334</v>
      </c>
      <c r="G406" t="s">
        <v>25</v>
      </c>
      <c r="H406" t="s">
        <v>337</v>
      </c>
      <c r="I406">
        <v>8</v>
      </c>
      <c r="J406">
        <v>3</v>
      </c>
      <c r="K406" s="20">
        <v>1500</v>
      </c>
      <c r="L406" t="s">
        <v>268</v>
      </c>
      <c r="M406" t="s">
        <v>77</v>
      </c>
      <c r="N406" t="s">
        <v>26</v>
      </c>
    </row>
    <row r="407" spans="1:14" x14ac:dyDescent="0.3">
      <c r="A407" s="8">
        <v>45894</v>
      </c>
      <c r="B407" t="s">
        <v>243</v>
      </c>
      <c r="C407" t="s">
        <v>202</v>
      </c>
      <c r="D407" s="20">
        <v>1500</v>
      </c>
      <c r="E407" t="s">
        <v>403</v>
      </c>
      <c r="F407" t="s">
        <v>334</v>
      </c>
      <c r="G407" t="s">
        <v>25</v>
      </c>
      <c r="H407" t="s">
        <v>337</v>
      </c>
      <c r="I407">
        <v>8</v>
      </c>
      <c r="J407">
        <v>3</v>
      </c>
      <c r="K407" s="20">
        <v>1500</v>
      </c>
      <c r="L407" t="s">
        <v>268</v>
      </c>
      <c r="M407" t="s">
        <v>80</v>
      </c>
      <c r="N407" t="s">
        <v>26</v>
      </c>
    </row>
    <row r="408" spans="1:14" x14ac:dyDescent="0.3">
      <c r="A408" s="8">
        <v>45898</v>
      </c>
      <c r="B408" t="s">
        <v>243</v>
      </c>
      <c r="C408" t="s">
        <v>176</v>
      </c>
      <c r="D408" s="20">
        <v>5000</v>
      </c>
      <c r="E408" t="s">
        <v>375</v>
      </c>
      <c r="F408" t="s">
        <v>334</v>
      </c>
      <c r="G408" t="s">
        <v>25</v>
      </c>
      <c r="H408" t="s">
        <v>337</v>
      </c>
      <c r="I408">
        <v>8</v>
      </c>
      <c r="J408">
        <v>3</v>
      </c>
      <c r="K408" s="20">
        <v>5000</v>
      </c>
      <c r="L408" t="s">
        <v>268</v>
      </c>
      <c r="M408" t="s">
        <v>323</v>
      </c>
      <c r="N408" t="s">
        <v>26</v>
      </c>
    </row>
    <row r="409" spans="1:14" x14ac:dyDescent="0.3">
      <c r="A409" s="8">
        <v>45898</v>
      </c>
      <c r="B409" t="s">
        <v>243</v>
      </c>
      <c r="C409" t="s">
        <v>217</v>
      </c>
      <c r="D409" s="20">
        <v>3000</v>
      </c>
      <c r="E409" t="s">
        <v>419</v>
      </c>
      <c r="F409" t="s">
        <v>334</v>
      </c>
      <c r="G409" t="s">
        <v>25</v>
      </c>
      <c r="H409" t="s">
        <v>337</v>
      </c>
      <c r="I409">
        <v>8</v>
      </c>
      <c r="J409">
        <v>3</v>
      </c>
      <c r="K409" s="20">
        <v>3000</v>
      </c>
      <c r="L409" t="s">
        <v>268</v>
      </c>
      <c r="M409" t="s">
        <v>36</v>
      </c>
      <c r="N409" t="s">
        <v>26</v>
      </c>
    </row>
    <row r="410" spans="1:14" x14ac:dyDescent="0.3">
      <c r="A410" s="8">
        <v>45898</v>
      </c>
      <c r="B410" t="s">
        <v>243</v>
      </c>
      <c r="C410" t="s">
        <v>172</v>
      </c>
      <c r="D410" s="20">
        <v>3600</v>
      </c>
      <c r="E410" t="s">
        <v>370</v>
      </c>
      <c r="F410" t="s">
        <v>334</v>
      </c>
      <c r="G410" t="s">
        <v>25</v>
      </c>
      <c r="H410" t="s">
        <v>337</v>
      </c>
      <c r="I410">
        <v>8</v>
      </c>
      <c r="J410">
        <v>3</v>
      </c>
      <c r="K410" s="20">
        <v>3600</v>
      </c>
      <c r="L410" t="s">
        <v>268</v>
      </c>
      <c r="M410" t="s">
        <v>58</v>
      </c>
      <c r="N410" t="s">
        <v>26</v>
      </c>
    </row>
    <row r="411" spans="1:14" x14ac:dyDescent="0.3">
      <c r="A411" s="8">
        <v>45899</v>
      </c>
      <c r="B411" t="s">
        <v>243</v>
      </c>
      <c r="C411" t="s">
        <v>354</v>
      </c>
      <c r="D411" s="20">
        <v>10000</v>
      </c>
      <c r="E411" t="s">
        <v>390</v>
      </c>
      <c r="F411" t="s">
        <v>334</v>
      </c>
      <c r="G411" t="s">
        <v>9</v>
      </c>
      <c r="H411" t="s">
        <v>337</v>
      </c>
      <c r="I411">
        <v>8</v>
      </c>
      <c r="J411">
        <v>3</v>
      </c>
      <c r="K411" s="20">
        <v>10000</v>
      </c>
      <c r="L411" t="s">
        <v>268</v>
      </c>
      <c r="M411" t="s">
        <v>127</v>
      </c>
      <c r="N411" t="s">
        <v>126</v>
      </c>
    </row>
    <row r="412" spans="1:14" x14ac:dyDescent="0.3">
      <c r="A412" s="8">
        <v>45899</v>
      </c>
      <c r="B412" t="s">
        <v>243</v>
      </c>
      <c r="C412" t="s">
        <v>361</v>
      </c>
      <c r="D412" s="20">
        <v>9000</v>
      </c>
      <c r="E412" t="s">
        <v>306</v>
      </c>
      <c r="F412" t="s">
        <v>333</v>
      </c>
      <c r="G412" t="s">
        <v>124</v>
      </c>
      <c r="H412" t="s">
        <v>336</v>
      </c>
      <c r="I412">
        <v>8</v>
      </c>
      <c r="J412">
        <v>3</v>
      </c>
      <c r="K412" s="20">
        <v>-9000</v>
      </c>
      <c r="L412" t="s">
        <v>269</v>
      </c>
      <c r="M412" t="s">
        <v>125</v>
      </c>
      <c r="N412" t="s">
        <v>103</v>
      </c>
    </row>
    <row r="413" spans="1:14" x14ac:dyDescent="0.3">
      <c r="A413" s="8">
        <v>45899</v>
      </c>
      <c r="B413" t="s">
        <v>243</v>
      </c>
      <c r="C413" t="s">
        <v>353</v>
      </c>
      <c r="D413" s="20">
        <v>20000</v>
      </c>
      <c r="E413" t="s">
        <v>300</v>
      </c>
      <c r="F413" t="s">
        <v>333</v>
      </c>
      <c r="G413" t="s">
        <v>130</v>
      </c>
      <c r="H413" t="s">
        <v>336</v>
      </c>
      <c r="I413">
        <v>8</v>
      </c>
      <c r="J413">
        <v>3</v>
      </c>
      <c r="K413" s="20">
        <v>-20000</v>
      </c>
      <c r="L413" t="s">
        <v>269</v>
      </c>
      <c r="M413" t="s">
        <v>131</v>
      </c>
      <c r="N413" t="s">
        <v>103</v>
      </c>
    </row>
    <row r="414" spans="1:14" x14ac:dyDescent="0.3">
      <c r="A414" s="8">
        <v>45899</v>
      </c>
      <c r="B414" t="s">
        <v>243</v>
      </c>
      <c r="C414" t="s">
        <v>355</v>
      </c>
      <c r="D414" s="20">
        <v>5000</v>
      </c>
      <c r="E414" t="s">
        <v>389</v>
      </c>
      <c r="F414" t="s">
        <v>334</v>
      </c>
      <c r="G414" t="s">
        <v>9</v>
      </c>
      <c r="H414" t="s">
        <v>337</v>
      </c>
      <c r="I414">
        <v>8</v>
      </c>
      <c r="J414">
        <v>3</v>
      </c>
      <c r="K414" s="20">
        <v>5000</v>
      </c>
      <c r="L414" t="s">
        <v>268</v>
      </c>
      <c r="M414" t="s">
        <v>128</v>
      </c>
      <c r="N414" t="s">
        <v>126</v>
      </c>
    </row>
    <row r="415" spans="1:14" x14ac:dyDescent="0.3">
      <c r="A415" s="8">
        <v>45899</v>
      </c>
      <c r="B415" t="s">
        <v>243</v>
      </c>
      <c r="C415" t="s">
        <v>357</v>
      </c>
      <c r="D415" s="20">
        <v>16359.01</v>
      </c>
      <c r="E415" t="s">
        <v>302</v>
      </c>
      <c r="F415" t="s">
        <v>333</v>
      </c>
      <c r="G415" t="s">
        <v>117</v>
      </c>
      <c r="H415" t="s">
        <v>336</v>
      </c>
      <c r="I415">
        <v>8</v>
      </c>
      <c r="J415">
        <v>3</v>
      </c>
      <c r="K415" s="20">
        <v>-16359.01</v>
      </c>
      <c r="L415" t="s">
        <v>269</v>
      </c>
      <c r="M415" t="s">
        <v>118</v>
      </c>
      <c r="N415" t="s">
        <v>103</v>
      </c>
    </row>
    <row r="416" spans="1:14" x14ac:dyDescent="0.3">
      <c r="A416" s="8">
        <v>45899</v>
      </c>
      <c r="B416" t="s">
        <v>243</v>
      </c>
      <c r="C416" t="s">
        <v>356</v>
      </c>
      <c r="D416" s="20">
        <v>15000</v>
      </c>
      <c r="E416" t="s">
        <v>301</v>
      </c>
      <c r="F416" t="s">
        <v>333</v>
      </c>
      <c r="G416" t="s">
        <v>133</v>
      </c>
      <c r="H416" t="s">
        <v>336</v>
      </c>
      <c r="I416">
        <v>8</v>
      </c>
      <c r="J416">
        <v>3</v>
      </c>
      <c r="K416" s="20">
        <v>-15000</v>
      </c>
      <c r="L416" t="s">
        <v>269</v>
      </c>
      <c r="M416" t="s">
        <v>134</v>
      </c>
      <c r="N416" t="s">
        <v>132</v>
      </c>
    </row>
    <row r="417" spans="1:14" x14ac:dyDescent="0.3">
      <c r="A417" s="8">
        <v>45900</v>
      </c>
      <c r="B417" t="s">
        <v>243</v>
      </c>
      <c r="C417" t="s">
        <v>218</v>
      </c>
      <c r="D417" s="20">
        <v>2600</v>
      </c>
      <c r="E417" t="s">
        <v>427</v>
      </c>
      <c r="F417" t="s">
        <v>334</v>
      </c>
      <c r="G417" t="s">
        <v>25</v>
      </c>
      <c r="H417" t="s">
        <v>337</v>
      </c>
      <c r="I417">
        <v>8</v>
      </c>
      <c r="J417">
        <v>3</v>
      </c>
      <c r="K417" s="20">
        <v>2600</v>
      </c>
      <c r="L417" t="s">
        <v>268</v>
      </c>
      <c r="M417" t="s">
        <v>42</v>
      </c>
      <c r="N417" t="s">
        <v>26</v>
      </c>
    </row>
    <row r="418" spans="1:14" x14ac:dyDescent="0.3">
      <c r="A418" s="8">
        <v>45900</v>
      </c>
      <c r="B418" t="s">
        <v>243</v>
      </c>
      <c r="C418" t="s">
        <v>202</v>
      </c>
      <c r="D418" s="20">
        <v>2000</v>
      </c>
      <c r="E418" t="s">
        <v>403</v>
      </c>
      <c r="F418" t="s">
        <v>334</v>
      </c>
      <c r="G418" t="s">
        <v>25</v>
      </c>
      <c r="H418" t="s">
        <v>337</v>
      </c>
      <c r="I418">
        <v>8</v>
      </c>
      <c r="J418">
        <v>3</v>
      </c>
      <c r="K418" s="20">
        <v>2000</v>
      </c>
      <c r="L418" t="s">
        <v>268</v>
      </c>
      <c r="M418" t="s">
        <v>80</v>
      </c>
      <c r="N418" t="s">
        <v>26</v>
      </c>
    </row>
    <row r="419" spans="1:14" x14ac:dyDescent="0.3">
      <c r="A419" s="8">
        <v>45900</v>
      </c>
      <c r="B419" t="s">
        <v>243</v>
      </c>
      <c r="C419" t="s">
        <v>195</v>
      </c>
      <c r="D419" s="20">
        <v>181</v>
      </c>
      <c r="E419" t="s">
        <v>328</v>
      </c>
      <c r="F419" t="s">
        <v>333</v>
      </c>
      <c r="G419" t="s">
        <v>319</v>
      </c>
      <c r="H419" t="s">
        <v>336</v>
      </c>
      <c r="I419">
        <v>8</v>
      </c>
      <c r="J419">
        <v>3</v>
      </c>
      <c r="K419" s="20">
        <v>-181</v>
      </c>
      <c r="L419" t="s">
        <v>269</v>
      </c>
      <c r="M419" t="s">
        <v>315</v>
      </c>
      <c r="N419" t="s">
        <v>90</v>
      </c>
    </row>
    <row r="420" spans="1:14" x14ac:dyDescent="0.3">
      <c r="A420" s="8">
        <v>45901</v>
      </c>
      <c r="B420" t="s">
        <v>249</v>
      </c>
      <c r="C420" t="s">
        <v>179</v>
      </c>
      <c r="D420" s="20">
        <v>2000</v>
      </c>
      <c r="E420" t="s">
        <v>378</v>
      </c>
      <c r="F420" t="s">
        <v>334</v>
      </c>
      <c r="G420" t="s">
        <v>25</v>
      </c>
      <c r="H420" t="s">
        <v>337</v>
      </c>
      <c r="I420">
        <v>9</v>
      </c>
      <c r="J420">
        <v>3</v>
      </c>
      <c r="K420" s="20">
        <v>2000</v>
      </c>
      <c r="L420" t="s">
        <v>268</v>
      </c>
      <c r="M420" t="s">
        <v>45</v>
      </c>
      <c r="N420" t="s">
        <v>26</v>
      </c>
    </row>
    <row r="421" spans="1:14" x14ac:dyDescent="0.3">
      <c r="A421" s="8">
        <v>45901</v>
      </c>
      <c r="B421" t="s">
        <v>249</v>
      </c>
      <c r="C421" t="s">
        <v>248</v>
      </c>
      <c r="D421" s="20">
        <v>2000</v>
      </c>
      <c r="E421" t="s">
        <v>426</v>
      </c>
      <c r="F421" t="s">
        <v>334</v>
      </c>
      <c r="G421" t="s">
        <v>25</v>
      </c>
      <c r="H421" t="s">
        <v>337</v>
      </c>
      <c r="I421">
        <v>9</v>
      </c>
      <c r="J421">
        <v>3</v>
      </c>
      <c r="K421" s="20">
        <v>2000</v>
      </c>
      <c r="L421" t="s">
        <v>268</v>
      </c>
      <c r="M421" t="s">
        <v>71</v>
      </c>
      <c r="N421" t="s">
        <v>26</v>
      </c>
    </row>
    <row r="422" spans="1:14" x14ac:dyDescent="0.3">
      <c r="A422" s="8">
        <v>45902</v>
      </c>
      <c r="B422" t="s">
        <v>249</v>
      </c>
      <c r="C422" t="s">
        <v>148</v>
      </c>
      <c r="D422" s="20">
        <v>19015</v>
      </c>
      <c r="E422" t="s">
        <v>324</v>
      </c>
      <c r="F422" t="s">
        <v>333</v>
      </c>
      <c r="G422" t="s">
        <v>139</v>
      </c>
      <c r="H422" t="s">
        <v>336</v>
      </c>
      <c r="I422">
        <v>9</v>
      </c>
      <c r="J422">
        <v>3</v>
      </c>
      <c r="K422" s="20">
        <v>-19015</v>
      </c>
      <c r="L422" t="s">
        <v>269</v>
      </c>
      <c r="M422" t="s">
        <v>322</v>
      </c>
      <c r="N422" t="s">
        <v>138</v>
      </c>
    </row>
    <row r="423" spans="1:14" x14ac:dyDescent="0.3">
      <c r="A423" s="8">
        <v>45903</v>
      </c>
      <c r="B423" t="s">
        <v>249</v>
      </c>
      <c r="C423" t="s">
        <v>251</v>
      </c>
      <c r="D423" s="20">
        <v>1400</v>
      </c>
      <c r="E423" t="s">
        <v>428</v>
      </c>
      <c r="F423" t="s">
        <v>334</v>
      </c>
      <c r="G423" t="s">
        <v>25</v>
      </c>
      <c r="H423" t="s">
        <v>337</v>
      </c>
      <c r="I423">
        <v>9</v>
      </c>
      <c r="J423">
        <v>3</v>
      </c>
      <c r="K423" s="20">
        <v>1400</v>
      </c>
      <c r="L423" t="s">
        <v>268</v>
      </c>
      <c r="M423" t="s">
        <v>30</v>
      </c>
      <c r="N423" t="s">
        <v>26</v>
      </c>
    </row>
    <row r="424" spans="1:14" x14ac:dyDescent="0.3">
      <c r="A424" s="8">
        <v>45905</v>
      </c>
      <c r="B424" t="s">
        <v>249</v>
      </c>
      <c r="C424" t="s">
        <v>175</v>
      </c>
      <c r="D424" s="20">
        <v>2000</v>
      </c>
      <c r="E424" t="s">
        <v>372</v>
      </c>
      <c r="F424" t="s">
        <v>334</v>
      </c>
      <c r="G424" t="s">
        <v>25</v>
      </c>
      <c r="H424" t="s">
        <v>337</v>
      </c>
      <c r="I424">
        <v>9</v>
      </c>
      <c r="J424">
        <v>3</v>
      </c>
      <c r="K424" s="20">
        <v>2000</v>
      </c>
      <c r="L424" t="s">
        <v>268</v>
      </c>
      <c r="M424" t="s">
        <v>43</v>
      </c>
      <c r="N424" t="s">
        <v>26</v>
      </c>
    </row>
    <row r="425" spans="1:14" x14ac:dyDescent="0.3">
      <c r="A425" s="8">
        <v>45906</v>
      </c>
      <c r="B425" t="s">
        <v>249</v>
      </c>
      <c r="C425" t="s">
        <v>217</v>
      </c>
      <c r="D425" s="20">
        <v>200</v>
      </c>
      <c r="E425" t="s">
        <v>286</v>
      </c>
      <c r="F425" t="s">
        <v>333</v>
      </c>
      <c r="G425" t="s">
        <v>25</v>
      </c>
      <c r="H425" t="s">
        <v>336</v>
      </c>
      <c r="I425">
        <v>9</v>
      </c>
      <c r="J425">
        <v>3</v>
      </c>
      <c r="K425" s="20">
        <v>-200</v>
      </c>
      <c r="L425" t="s">
        <v>269</v>
      </c>
      <c r="M425" t="s">
        <v>36</v>
      </c>
      <c r="N425" t="s">
        <v>26</v>
      </c>
    </row>
    <row r="426" spans="1:14" x14ac:dyDescent="0.3">
      <c r="A426" s="8">
        <v>45906</v>
      </c>
      <c r="B426" t="s">
        <v>249</v>
      </c>
      <c r="C426" t="s">
        <v>250</v>
      </c>
      <c r="D426" s="20">
        <v>2000</v>
      </c>
      <c r="E426" t="s">
        <v>330</v>
      </c>
      <c r="F426" t="s">
        <v>333</v>
      </c>
      <c r="G426" t="s">
        <v>25</v>
      </c>
      <c r="H426" t="s">
        <v>336</v>
      </c>
      <c r="I426">
        <v>9</v>
      </c>
      <c r="J426">
        <v>3</v>
      </c>
      <c r="K426" s="20">
        <v>-2000</v>
      </c>
      <c r="L426" t="s">
        <v>269</v>
      </c>
      <c r="M426" t="s">
        <v>320</v>
      </c>
      <c r="N426" t="s">
        <v>26</v>
      </c>
    </row>
    <row r="427" spans="1:14" x14ac:dyDescent="0.3">
      <c r="A427" s="8">
        <v>45907</v>
      </c>
      <c r="B427" t="s">
        <v>249</v>
      </c>
      <c r="C427" t="s">
        <v>164</v>
      </c>
      <c r="D427" s="20">
        <v>3000</v>
      </c>
      <c r="E427" t="s">
        <v>379</v>
      </c>
      <c r="F427" t="s">
        <v>334</v>
      </c>
      <c r="G427" t="s">
        <v>25</v>
      </c>
      <c r="H427" t="s">
        <v>337</v>
      </c>
      <c r="I427">
        <v>9</v>
      </c>
      <c r="J427">
        <v>3</v>
      </c>
      <c r="K427" s="20">
        <v>3000</v>
      </c>
      <c r="L427" t="s">
        <v>268</v>
      </c>
      <c r="M427" t="s">
        <v>321</v>
      </c>
      <c r="N427" t="s">
        <v>26</v>
      </c>
    </row>
    <row r="428" spans="1:14" x14ac:dyDescent="0.3">
      <c r="A428" s="8">
        <v>45908</v>
      </c>
      <c r="B428" t="s">
        <v>249</v>
      </c>
      <c r="C428" t="s">
        <v>175</v>
      </c>
      <c r="D428" s="20">
        <v>1000</v>
      </c>
      <c r="E428" t="s">
        <v>372</v>
      </c>
      <c r="F428" t="s">
        <v>334</v>
      </c>
      <c r="G428" t="s">
        <v>25</v>
      </c>
      <c r="H428" t="s">
        <v>337</v>
      </c>
      <c r="I428">
        <v>9</v>
      </c>
      <c r="J428">
        <v>3</v>
      </c>
      <c r="K428" s="20">
        <v>1000</v>
      </c>
      <c r="L428" t="s">
        <v>268</v>
      </c>
      <c r="M428" t="s">
        <v>43</v>
      </c>
      <c r="N428" t="s">
        <v>26</v>
      </c>
    </row>
    <row r="429" spans="1:14" x14ac:dyDescent="0.3">
      <c r="A429" s="8">
        <v>45912</v>
      </c>
      <c r="B429" t="s">
        <v>249</v>
      </c>
      <c r="C429" t="s">
        <v>350</v>
      </c>
      <c r="D429" s="20">
        <v>239</v>
      </c>
      <c r="E429" t="s">
        <v>292</v>
      </c>
      <c r="F429" t="s">
        <v>333</v>
      </c>
      <c r="G429" t="s">
        <v>313</v>
      </c>
      <c r="H429" t="s">
        <v>336</v>
      </c>
      <c r="I429">
        <v>9</v>
      </c>
      <c r="J429">
        <v>3</v>
      </c>
      <c r="K429" s="20">
        <v>-239</v>
      </c>
      <c r="L429" t="s">
        <v>269</v>
      </c>
      <c r="M429" t="s">
        <v>113</v>
      </c>
      <c r="N429" t="s">
        <v>103</v>
      </c>
    </row>
    <row r="430" spans="1:14" x14ac:dyDescent="0.3">
      <c r="A430" s="8">
        <v>45915</v>
      </c>
      <c r="B430" t="s">
        <v>249</v>
      </c>
      <c r="C430" t="s">
        <v>202</v>
      </c>
      <c r="D430" s="20">
        <v>1000</v>
      </c>
      <c r="E430" t="s">
        <v>403</v>
      </c>
      <c r="F430" t="s">
        <v>334</v>
      </c>
      <c r="G430" t="s">
        <v>25</v>
      </c>
      <c r="H430" t="s">
        <v>337</v>
      </c>
      <c r="I430">
        <v>9</v>
      </c>
      <c r="J430">
        <v>3</v>
      </c>
      <c r="K430" s="20">
        <v>1000</v>
      </c>
      <c r="L430" t="s">
        <v>268</v>
      </c>
      <c r="M430" t="s">
        <v>80</v>
      </c>
      <c r="N430" t="s">
        <v>26</v>
      </c>
    </row>
    <row r="431" spans="1:14" x14ac:dyDescent="0.3">
      <c r="A431" s="8">
        <v>45915</v>
      </c>
      <c r="B431" t="s">
        <v>249</v>
      </c>
      <c r="C431" t="s">
        <v>343</v>
      </c>
      <c r="D431" s="20">
        <v>5259.37</v>
      </c>
      <c r="E431" t="s">
        <v>312</v>
      </c>
      <c r="F431" t="s">
        <v>333</v>
      </c>
      <c r="G431" t="s">
        <v>122</v>
      </c>
      <c r="H431" t="s">
        <v>336</v>
      </c>
      <c r="I431">
        <v>9</v>
      </c>
      <c r="J431">
        <v>3</v>
      </c>
      <c r="K431" s="20">
        <v>-5259.37</v>
      </c>
      <c r="L431" t="s">
        <v>269</v>
      </c>
      <c r="M431" t="s">
        <v>311</v>
      </c>
      <c r="N431" t="s">
        <v>121</v>
      </c>
    </row>
    <row r="432" spans="1:14" x14ac:dyDescent="0.3">
      <c r="A432" s="8">
        <v>45915</v>
      </c>
      <c r="B432" t="s">
        <v>249</v>
      </c>
      <c r="C432" t="s">
        <v>177</v>
      </c>
      <c r="D432" s="20">
        <v>14000</v>
      </c>
      <c r="E432" t="s">
        <v>373</v>
      </c>
      <c r="F432" t="s">
        <v>334</v>
      </c>
      <c r="G432" t="s">
        <v>139</v>
      </c>
      <c r="H432" t="s">
        <v>337</v>
      </c>
      <c r="I432">
        <v>9</v>
      </c>
      <c r="J432">
        <v>3</v>
      </c>
      <c r="K432" s="20">
        <v>14000</v>
      </c>
      <c r="L432" t="s">
        <v>268</v>
      </c>
      <c r="M432" t="s">
        <v>141</v>
      </c>
      <c r="N432" t="s">
        <v>26</v>
      </c>
    </row>
    <row r="433" spans="1:14" x14ac:dyDescent="0.3">
      <c r="A433" s="8">
        <v>45915</v>
      </c>
      <c r="B433" t="s">
        <v>249</v>
      </c>
      <c r="C433" t="s">
        <v>195</v>
      </c>
      <c r="D433" s="20">
        <v>181</v>
      </c>
      <c r="E433" t="s">
        <v>328</v>
      </c>
      <c r="F433" t="s">
        <v>333</v>
      </c>
      <c r="G433" t="s">
        <v>319</v>
      </c>
      <c r="H433" t="s">
        <v>336</v>
      </c>
      <c r="I433">
        <v>9</v>
      </c>
      <c r="J433">
        <v>3</v>
      </c>
      <c r="K433" s="20">
        <v>-181</v>
      </c>
      <c r="L433" t="s">
        <v>269</v>
      </c>
      <c r="M433" t="s">
        <v>315</v>
      </c>
      <c r="N433" t="s">
        <v>90</v>
      </c>
    </row>
    <row r="434" spans="1:14" x14ac:dyDescent="0.3">
      <c r="A434" s="8">
        <v>45915</v>
      </c>
      <c r="B434" t="s">
        <v>249</v>
      </c>
      <c r="C434" t="s">
        <v>166</v>
      </c>
      <c r="D434" s="20">
        <v>1200</v>
      </c>
      <c r="E434" t="s">
        <v>364</v>
      </c>
      <c r="F434" t="s">
        <v>334</v>
      </c>
      <c r="G434" t="s">
        <v>25</v>
      </c>
      <c r="H434" t="s">
        <v>337</v>
      </c>
      <c r="I434">
        <v>9</v>
      </c>
      <c r="J434">
        <v>3</v>
      </c>
      <c r="K434" s="20">
        <v>1200</v>
      </c>
      <c r="L434" t="s">
        <v>268</v>
      </c>
      <c r="M434" t="s">
        <v>84</v>
      </c>
      <c r="N434" t="s">
        <v>26</v>
      </c>
    </row>
    <row r="435" spans="1:14" x14ac:dyDescent="0.3">
      <c r="A435" s="8">
        <v>45916</v>
      </c>
      <c r="B435" t="s">
        <v>249</v>
      </c>
      <c r="C435" t="s">
        <v>148</v>
      </c>
      <c r="D435" s="20">
        <v>20015</v>
      </c>
      <c r="E435" t="s">
        <v>324</v>
      </c>
      <c r="F435" t="s">
        <v>333</v>
      </c>
      <c r="G435" t="s">
        <v>139</v>
      </c>
      <c r="H435" t="s">
        <v>336</v>
      </c>
      <c r="I435">
        <v>9</v>
      </c>
      <c r="J435">
        <v>3</v>
      </c>
      <c r="K435" s="20">
        <v>-20015</v>
      </c>
      <c r="L435" t="s">
        <v>269</v>
      </c>
      <c r="M435" t="s">
        <v>322</v>
      </c>
      <c r="N435" t="s">
        <v>138</v>
      </c>
    </row>
    <row r="436" spans="1:14" x14ac:dyDescent="0.3">
      <c r="A436" s="8">
        <v>45916</v>
      </c>
      <c r="B436" t="s">
        <v>249</v>
      </c>
      <c r="C436" t="s">
        <v>342</v>
      </c>
      <c r="D436" s="20">
        <v>7005</v>
      </c>
      <c r="E436" t="s">
        <v>273</v>
      </c>
      <c r="F436" t="s">
        <v>333</v>
      </c>
      <c r="G436" t="s">
        <v>98</v>
      </c>
      <c r="H436" t="s">
        <v>336</v>
      </c>
      <c r="I436">
        <v>9</v>
      </c>
      <c r="J436">
        <v>3</v>
      </c>
      <c r="K436" s="20">
        <v>-7005</v>
      </c>
      <c r="L436" t="s">
        <v>269</v>
      </c>
      <c r="M436" t="s">
        <v>116</v>
      </c>
      <c r="N436" t="s">
        <v>94</v>
      </c>
    </row>
    <row r="437" spans="1:14" x14ac:dyDescent="0.3">
      <c r="A437" s="8">
        <v>45916</v>
      </c>
      <c r="B437" t="s">
        <v>249</v>
      </c>
      <c r="C437" t="s">
        <v>345</v>
      </c>
      <c r="D437" s="20">
        <v>2000</v>
      </c>
      <c r="E437" t="s">
        <v>385</v>
      </c>
      <c r="F437" t="s">
        <v>334</v>
      </c>
      <c r="G437" t="s">
        <v>25</v>
      </c>
      <c r="H437" t="s">
        <v>337</v>
      </c>
      <c r="I437">
        <v>9</v>
      </c>
      <c r="J437">
        <v>3</v>
      </c>
      <c r="K437" s="20">
        <v>2000</v>
      </c>
      <c r="L437" t="s">
        <v>268</v>
      </c>
      <c r="M437" t="s">
        <v>54</v>
      </c>
      <c r="N437" t="s">
        <v>26</v>
      </c>
    </row>
    <row r="438" spans="1:14" x14ac:dyDescent="0.3">
      <c r="A438" s="8">
        <v>45916</v>
      </c>
      <c r="B438" t="s">
        <v>249</v>
      </c>
      <c r="C438" t="s">
        <v>248</v>
      </c>
      <c r="D438" s="20">
        <v>2000</v>
      </c>
      <c r="E438" t="s">
        <v>426</v>
      </c>
      <c r="F438" t="s">
        <v>334</v>
      </c>
      <c r="G438" t="s">
        <v>25</v>
      </c>
      <c r="H438" t="s">
        <v>337</v>
      </c>
      <c r="I438">
        <v>9</v>
      </c>
      <c r="J438">
        <v>3</v>
      </c>
      <c r="K438" s="20">
        <v>2000</v>
      </c>
      <c r="L438" t="s">
        <v>268</v>
      </c>
      <c r="M438" t="s">
        <v>71</v>
      </c>
      <c r="N438" t="s">
        <v>26</v>
      </c>
    </row>
    <row r="439" spans="1:14" x14ac:dyDescent="0.3">
      <c r="A439" s="8">
        <v>45917</v>
      </c>
      <c r="B439" t="s">
        <v>249</v>
      </c>
      <c r="C439" t="s">
        <v>172</v>
      </c>
      <c r="D439" s="20">
        <v>3600</v>
      </c>
      <c r="E439" t="s">
        <v>370</v>
      </c>
      <c r="F439" t="s">
        <v>334</v>
      </c>
      <c r="G439" t="s">
        <v>25</v>
      </c>
      <c r="H439" t="s">
        <v>337</v>
      </c>
      <c r="I439">
        <v>9</v>
      </c>
      <c r="J439">
        <v>3</v>
      </c>
      <c r="K439" s="20">
        <v>3600</v>
      </c>
      <c r="L439" t="s">
        <v>268</v>
      </c>
      <c r="M439" t="s">
        <v>58</v>
      </c>
      <c r="N439" t="s">
        <v>26</v>
      </c>
    </row>
    <row r="440" spans="1:14" x14ac:dyDescent="0.3">
      <c r="A440" s="8">
        <v>45918</v>
      </c>
      <c r="B440" t="s">
        <v>249</v>
      </c>
      <c r="C440" t="s">
        <v>183</v>
      </c>
      <c r="D440" s="20">
        <v>862</v>
      </c>
      <c r="E440" t="s">
        <v>392</v>
      </c>
      <c r="F440" t="s">
        <v>334</v>
      </c>
      <c r="G440" t="s">
        <v>25</v>
      </c>
      <c r="H440" t="s">
        <v>337</v>
      </c>
      <c r="I440">
        <v>9</v>
      </c>
      <c r="J440">
        <v>3</v>
      </c>
      <c r="K440" s="20">
        <v>862</v>
      </c>
      <c r="L440" t="s">
        <v>268</v>
      </c>
      <c r="M440" t="s">
        <v>19</v>
      </c>
      <c r="N440" t="s">
        <v>26</v>
      </c>
    </row>
    <row r="441" spans="1:14" x14ac:dyDescent="0.3">
      <c r="A441" s="8">
        <v>45920</v>
      </c>
      <c r="B441" t="s">
        <v>249</v>
      </c>
      <c r="C441" t="s">
        <v>175</v>
      </c>
      <c r="D441" s="20">
        <v>3000</v>
      </c>
      <c r="E441" t="s">
        <v>372</v>
      </c>
      <c r="F441" t="s">
        <v>334</v>
      </c>
      <c r="G441" t="s">
        <v>25</v>
      </c>
      <c r="H441" t="s">
        <v>337</v>
      </c>
      <c r="I441">
        <v>9</v>
      </c>
      <c r="J441">
        <v>3</v>
      </c>
      <c r="K441" s="20">
        <v>3000</v>
      </c>
      <c r="L441" t="s">
        <v>268</v>
      </c>
      <c r="M441" t="s">
        <v>43</v>
      </c>
      <c r="N441" t="s">
        <v>26</v>
      </c>
    </row>
    <row r="442" spans="1:14" x14ac:dyDescent="0.3">
      <c r="A442" s="8">
        <v>45920</v>
      </c>
      <c r="B442" t="s">
        <v>249</v>
      </c>
      <c r="C442" t="s">
        <v>250</v>
      </c>
      <c r="D442" s="20">
        <v>3000</v>
      </c>
      <c r="E442" t="s">
        <v>330</v>
      </c>
      <c r="F442" t="s">
        <v>333</v>
      </c>
      <c r="G442" t="s">
        <v>25</v>
      </c>
      <c r="H442" t="s">
        <v>336</v>
      </c>
      <c r="I442">
        <v>9</v>
      </c>
      <c r="J442">
        <v>3</v>
      </c>
      <c r="K442" s="20">
        <v>-3000</v>
      </c>
      <c r="L442" t="s">
        <v>269</v>
      </c>
      <c r="M442" t="s">
        <v>320</v>
      </c>
      <c r="N442" t="s">
        <v>26</v>
      </c>
    </row>
    <row r="443" spans="1:14" x14ac:dyDescent="0.3">
      <c r="A443" s="8">
        <v>45920</v>
      </c>
      <c r="B443" t="s">
        <v>249</v>
      </c>
      <c r="C443" t="s">
        <v>148</v>
      </c>
      <c r="D443" s="20">
        <v>3015</v>
      </c>
      <c r="E443" t="s">
        <v>324</v>
      </c>
      <c r="F443" t="s">
        <v>333</v>
      </c>
      <c r="G443" t="s">
        <v>139</v>
      </c>
      <c r="H443" t="s">
        <v>336</v>
      </c>
      <c r="I443">
        <v>9</v>
      </c>
      <c r="J443">
        <v>3</v>
      </c>
      <c r="K443" s="20">
        <v>-3015</v>
      </c>
      <c r="L443" t="s">
        <v>269</v>
      </c>
      <c r="M443" t="s">
        <v>322</v>
      </c>
      <c r="N443" t="s">
        <v>138</v>
      </c>
    </row>
    <row r="444" spans="1:14" x14ac:dyDescent="0.3">
      <c r="A444" s="8">
        <v>45923</v>
      </c>
      <c r="B444" t="s">
        <v>249</v>
      </c>
      <c r="C444" t="s">
        <v>164</v>
      </c>
      <c r="D444" s="20">
        <v>2000</v>
      </c>
      <c r="E444" t="s">
        <v>379</v>
      </c>
      <c r="F444" t="s">
        <v>334</v>
      </c>
      <c r="G444" t="s">
        <v>25</v>
      </c>
      <c r="H444" t="s">
        <v>337</v>
      </c>
      <c r="I444">
        <v>9</v>
      </c>
      <c r="J444">
        <v>3</v>
      </c>
      <c r="K444" s="20">
        <v>2000</v>
      </c>
      <c r="L444" t="s">
        <v>268</v>
      </c>
      <c r="M444" t="s">
        <v>321</v>
      </c>
      <c r="N444" t="s">
        <v>26</v>
      </c>
    </row>
    <row r="445" spans="1:14" x14ac:dyDescent="0.3">
      <c r="A445" s="8">
        <v>45923</v>
      </c>
      <c r="B445" t="s">
        <v>249</v>
      </c>
      <c r="C445" t="s">
        <v>167</v>
      </c>
      <c r="D445" s="20">
        <v>1800</v>
      </c>
      <c r="E445" t="s">
        <v>365</v>
      </c>
      <c r="F445" t="s">
        <v>334</v>
      </c>
      <c r="G445" t="s">
        <v>25</v>
      </c>
      <c r="H445" t="s">
        <v>337</v>
      </c>
      <c r="I445">
        <v>9</v>
      </c>
      <c r="J445">
        <v>3</v>
      </c>
      <c r="K445" s="20">
        <v>1800</v>
      </c>
      <c r="L445" t="s">
        <v>268</v>
      </c>
      <c r="M445" t="s">
        <v>49</v>
      </c>
      <c r="N445" t="s">
        <v>26</v>
      </c>
    </row>
    <row r="446" spans="1:14" x14ac:dyDescent="0.3">
      <c r="A446" s="8">
        <v>45926</v>
      </c>
      <c r="B446" t="s">
        <v>249</v>
      </c>
      <c r="C446" t="s">
        <v>202</v>
      </c>
      <c r="D446" s="20">
        <v>500</v>
      </c>
      <c r="E446" t="s">
        <v>403</v>
      </c>
      <c r="F446" t="s">
        <v>334</v>
      </c>
      <c r="G446" t="s">
        <v>25</v>
      </c>
      <c r="H446" t="s">
        <v>337</v>
      </c>
      <c r="I446">
        <v>9</v>
      </c>
      <c r="J446">
        <v>3</v>
      </c>
      <c r="K446" s="20">
        <v>500</v>
      </c>
      <c r="L446" t="s">
        <v>268</v>
      </c>
      <c r="M446" t="s">
        <v>80</v>
      </c>
      <c r="N446" t="s">
        <v>26</v>
      </c>
    </row>
    <row r="447" spans="1:14" x14ac:dyDescent="0.3">
      <c r="A447" s="8">
        <v>45927</v>
      </c>
      <c r="B447" t="s">
        <v>249</v>
      </c>
      <c r="C447" t="s">
        <v>202</v>
      </c>
      <c r="D447" s="20">
        <v>500</v>
      </c>
      <c r="E447" t="s">
        <v>403</v>
      </c>
      <c r="F447" t="s">
        <v>334</v>
      </c>
      <c r="G447" t="s">
        <v>25</v>
      </c>
      <c r="H447" t="s">
        <v>337</v>
      </c>
      <c r="I447">
        <v>9</v>
      </c>
      <c r="J447">
        <v>3</v>
      </c>
      <c r="K447" s="20">
        <v>500</v>
      </c>
      <c r="L447" t="s">
        <v>268</v>
      </c>
      <c r="M447" t="s">
        <v>80</v>
      </c>
      <c r="N447" t="s">
        <v>26</v>
      </c>
    </row>
    <row r="448" spans="1:14" x14ac:dyDescent="0.3">
      <c r="A448" s="8">
        <v>45927</v>
      </c>
      <c r="B448" t="s">
        <v>249</v>
      </c>
      <c r="C448" t="s">
        <v>148</v>
      </c>
      <c r="D448" s="20">
        <v>3015</v>
      </c>
      <c r="E448" t="s">
        <v>324</v>
      </c>
      <c r="F448" t="s">
        <v>333</v>
      </c>
      <c r="G448" t="s">
        <v>139</v>
      </c>
      <c r="H448" t="s">
        <v>336</v>
      </c>
      <c r="I448">
        <v>9</v>
      </c>
      <c r="J448">
        <v>3</v>
      </c>
      <c r="K448" s="20">
        <v>-3015</v>
      </c>
      <c r="L448" t="s">
        <v>269</v>
      </c>
      <c r="M448" t="s">
        <v>322</v>
      </c>
      <c r="N448" t="s">
        <v>138</v>
      </c>
    </row>
    <row r="449" spans="1:14" x14ac:dyDescent="0.3">
      <c r="A449" s="8">
        <v>45930</v>
      </c>
      <c r="B449" t="s">
        <v>249</v>
      </c>
      <c r="C449" t="s">
        <v>354</v>
      </c>
      <c r="D449" s="20">
        <v>10000</v>
      </c>
      <c r="E449" t="s">
        <v>390</v>
      </c>
      <c r="F449" t="s">
        <v>334</v>
      </c>
      <c r="G449" t="s">
        <v>9</v>
      </c>
      <c r="H449" t="s">
        <v>337</v>
      </c>
      <c r="I449">
        <v>9</v>
      </c>
      <c r="J449">
        <v>3</v>
      </c>
      <c r="K449" s="20">
        <v>10000</v>
      </c>
      <c r="L449" t="s">
        <v>268</v>
      </c>
      <c r="M449" t="s">
        <v>127</v>
      </c>
      <c r="N449" t="s">
        <v>126</v>
      </c>
    </row>
    <row r="450" spans="1:14" x14ac:dyDescent="0.3">
      <c r="A450" s="8">
        <v>45930</v>
      </c>
      <c r="B450" t="s">
        <v>249</v>
      </c>
      <c r="C450" t="s">
        <v>355</v>
      </c>
      <c r="D450" s="20">
        <v>4600</v>
      </c>
      <c r="E450" t="s">
        <v>389</v>
      </c>
      <c r="F450" t="s">
        <v>334</v>
      </c>
      <c r="G450" t="s">
        <v>9</v>
      </c>
      <c r="H450" t="s">
        <v>337</v>
      </c>
      <c r="I450">
        <v>9</v>
      </c>
      <c r="J450">
        <v>3</v>
      </c>
      <c r="K450" s="20">
        <v>4600</v>
      </c>
      <c r="L450" t="s">
        <v>268</v>
      </c>
      <c r="M450" t="s">
        <v>128</v>
      </c>
      <c r="N450" t="s">
        <v>126</v>
      </c>
    </row>
    <row r="451" spans="1:14" x14ac:dyDescent="0.3">
      <c r="A451" s="8">
        <v>45930</v>
      </c>
      <c r="B451" t="s">
        <v>249</v>
      </c>
      <c r="C451" t="s">
        <v>361</v>
      </c>
      <c r="D451" s="20">
        <v>5000</v>
      </c>
      <c r="E451" t="s">
        <v>306</v>
      </c>
      <c r="F451" t="s">
        <v>333</v>
      </c>
      <c r="G451" t="s">
        <v>124</v>
      </c>
      <c r="H451" t="s">
        <v>336</v>
      </c>
      <c r="I451">
        <v>9</v>
      </c>
      <c r="J451">
        <v>3</v>
      </c>
      <c r="K451" s="20">
        <v>-5000</v>
      </c>
      <c r="L451" t="s">
        <v>269</v>
      </c>
      <c r="M451" t="s">
        <v>125</v>
      </c>
      <c r="N451" t="s">
        <v>103</v>
      </c>
    </row>
    <row r="452" spans="1:14" x14ac:dyDescent="0.3">
      <c r="A452" s="8">
        <v>45930</v>
      </c>
      <c r="B452" t="s">
        <v>249</v>
      </c>
      <c r="C452" t="s">
        <v>356</v>
      </c>
      <c r="D452" s="20">
        <v>15000</v>
      </c>
      <c r="E452" t="s">
        <v>301</v>
      </c>
      <c r="F452" t="s">
        <v>333</v>
      </c>
      <c r="G452" t="s">
        <v>133</v>
      </c>
      <c r="H452" t="s">
        <v>336</v>
      </c>
      <c r="I452">
        <v>9</v>
      </c>
      <c r="J452">
        <v>3</v>
      </c>
      <c r="K452" s="20">
        <v>-15000</v>
      </c>
      <c r="L452" t="s">
        <v>269</v>
      </c>
      <c r="M452" t="s">
        <v>134</v>
      </c>
      <c r="N452" t="s">
        <v>132</v>
      </c>
    </row>
    <row r="453" spans="1:14" x14ac:dyDescent="0.3">
      <c r="A453" s="8">
        <v>45930</v>
      </c>
      <c r="B453" t="s">
        <v>249</v>
      </c>
      <c r="C453" t="s">
        <v>353</v>
      </c>
      <c r="D453" s="20">
        <v>15000</v>
      </c>
      <c r="E453" t="s">
        <v>300</v>
      </c>
      <c r="F453" t="s">
        <v>333</v>
      </c>
      <c r="G453" t="s">
        <v>130</v>
      </c>
      <c r="H453" t="s">
        <v>336</v>
      </c>
      <c r="I453">
        <v>9</v>
      </c>
      <c r="J453">
        <v>3</v>
      </c>
      <c r="K453" s="20">
        <v>-15000</v>
      </c>
      <c r="L453" t="s">
        <v>269</v>
      </c>
      <c r="M453" t="s">
        <v>131</v>
      </c>
      <c r="N453" t="s">
        <v>103</v>
      </c>
    </row>
    <row r="454" spans="1:14" x14ac:dyDescent="0.3">
      <c r="A454" s="8">
        <v>45930</v>
      </c>
      <c r="B454" t="s">
        <v>249</v>
      </c>
      <c r="C454" t="s">
        <v>360</v>
      </c>
      <c r="D454" s="20">
        <v>3000</v>
      </c>
      <c r="E454" t="s">
        <v>305</v>
      </c>
      <c r="F454" t="s">
        <v>333</v>
      </c>
      <c r="G454" t="s">
        <v>11</v>
      </c>
      <c r="H454" t="s">
        <v>336</v>
      </c>
      <c r="I454">
        <v>9</v>
      </c>
      <c r="J454">
        <v>3</v>
      </c>
      <c r="K454" s="20">
        <v>-3000</v>
      </c>
      <c r="L454" t="s">
        <v>269</v>
      </c>
      <c r="M454" t="s">
        <v>115</v>
      </c>
      <c r="N454" t="s">
        <v>103</v>
      </c>
    </row>
    <row r="455" spans="1:14" x14ac:dyDescent="0.3">
      <c r="A455" s="8">
        <v>45930</v>
      </c>
      <c r="B455" t="s">
        <v>249</v>
      </c>
      <c r="C455" t="s">
        <v>195</v>
      </c>
      <c r="D455" s="20">
        <v>181</v>
      </c>
      <c r="E455" t="s">
        <v>328</v>
      </c>
      <c r="F455" t="s">
        <v>333</v>
      </c>
      <c r="G455" t="s">
        <v>319</v>
      </c>
      <c r="H455" t="s">
        <v>336</v>
      </c>
      <c r="I455">
        <v>9</v>
      </c>
      <c r="J455">
        <v>3</v>
      </c>
      <c r="K455" s="20">
        <v>-181</v>
      </c>
      <c r="L455" t="s">
        <v>269</v>
      </c>
      <c r="M455" t="s">
        <v>315</v>
      </c>
      <c r="N455" t="s">
        <v>90</v>
      </c>
    </row>
    <row r="456" spans="1:14" x14ac:dyDescent="0.3">
      <c r="A456" s="8">
        <v>45930</v>
      </c>
      <c r="B456" t="s">
        <v>249</v>
      </c>
      <c r="C456" t="s">
        <v>233</v>
      </c>
      <c r="D456" s="20">
        <v>2000</v>
      </c>
      <c r="E456" t="s">
        <v>420</v>
      </c>
      <c r="F456" t="s">
        <v>334</v>
      </c>
      <c r="G456" t="s">
        <v>25</v>
      </c>
      <c r="H456" t="s">
        <v>337</v>
      </c>
      <c r="I456">
        <v>9</v>
      </c>
      <c r="J456">
        <v>3</v>
      </c>
      <c r="K456" s="20">
        <v>2000</v>
      </c>
      <c r="L456" t="s">
        <v>268</v>
      </c>
      <c r="M456" t="s">
        <v>51</v>
      </c>
      <c r="N456" t="s">
        <v>26</v>
      </c>
    </row>
    <row r="457" spans="1:14" x14ac:dyDescent="0.3">
      <c r="A457" s="8">
        <v>45930</v>
      </c>
      <c r="B457" t="s">
        <v>249</v>
      </c>
      <c r="C457" t="s">
        <v>176</v>
      </c>
      <c r="D457" s="20">
        <v>6000</v>
      </c>
      <c r="E457" t="s">
        <v>375</v>
      </c>
      <c r="F457" t="s">
        <v>334</v>
      </c>
      <c r="G457" t="s">
        <v>25</v>
      </c>
      <c r="H457" t="s">
        <v>337</v>
      </c>
      <c r="I457">
        <v>9</v>
      </c>
      <c r="J457">
        <v>3</v>
      </c>
      <c r="K457" s="20">
        <v>6000</v>
      </c>
      <c r="L457" t="s">
        <v>268</v>
      </c>
      <c r="M457" t="s">
        <v>323</v>
      </c>
      <c r="N457" t="s">
        <v>26</v>
      </c>
    </row>
    <row r="458" spans="1:14" x14ac:dyDescent="0.3">
      <c r="A458" s="8">
        <v>45930</v>
      </c>
      <c r="B458" t="s">
        <v>249</v>
      </c>
      <c r="C458" t="s">
        <v>217</v>
      </c>
      <c r="D458" s="20">
        <v>1500</v>
      </c>
      <c r="E458" t="s">
        <v>419</v>
      </c>
      <c r="F458" t="s">
        <v>334</v>
      </c>
      <c r="G458" t="s">
        <v>25</v>
      </c>
      <c r="H458" t="s">
        <v>337</v>
      </c>
      <c r="I458">
        <v>9</v>
      </c>
      <c r="J458">
        <v>3</v>
      </c>
      <c r="K458" s="20">
        <v>1500</v>
      </c>
      <c r="L458" t="s">
        <v>268</v>
      </c>
      <c r="M458" t="s">
        <v>36</v>
      </c>
      <c r="N458" t="s">
        <v>26</v>
      </c>
    </row>
    <row r="459" spans="1:14" x14ac:dyDescent="0.3">
      <c r="A459" s="8">
        <v>45930</v>
      </c>
      <c r="B459" t="s">
        <v>249</v>
      </c>
      <c r="C459" t="s">
        <v>357</v>
      </c>
      <c r="D459" s="20">
        <v>12445.46</v>
      </c>
      <c r="E459" t="s">
        <v>302</v>
      </c>
      <c r="F459" t="s">
        <v>333</v>
      </c>
      <c r="G459" t="s">
        <v>117</v>
      </c>
      <c r="H459" t="s">
        <v>336</v>
      </c>
      <c r="I459">
        <v>9</v>
      </c>
      <c r="J459">
        <v>3</v>
      </c>
      <c r="K459" s="20">
        <v>-12445.46</v>
      </c>
      <c r="L459" t="s">
        <v>269</v>
      </c>
      <c r="M459" t="s">
        <v>118</v>
      </c>
      <c r="N459" t="s">
        <v>103</v>
      </c>
    </row>
    <row r="460" spans="1:14" x14ac:dyDescent="0.3">
      <c r="A460" s="8">
        <v>45930</v>
      </c>
      <c r="B460" t="s">
        <v>249</v>
      </c>
      <c r="C460" t="s">
        <v>247</v>
      </c>
      <c r="D460" s="20">
        <v>5015</v>
      </c>
      <c r="E460" t="s">
        <v>293</v>
      </c>
      <c r="F460" t="s">
        <v>333</v>
      </c>
      <c r="G460" t="s">
        <v>25</v>
      </c>
      <c r="H460" t="s">
        <v>336</v>
      </c>
      <c r="I460">
        <v>9</v>
      </c>
      <c r="J460">
        <v>3</v>
      </c>
      <c r="K460" s="20">
        <v>-5015</v>
      </c>
      <c r="L460" t="s">
        <v>269</v>
      </c>
      <c r="M460" t="s">
        <v>78</v>
      </c>
      <c r="N460" t="s">
        <v>26</v>
      </c>
    </row>
    <row r="461" spans="1:14" x14ac:dyDescent="0.3">
      <c r="A461" s="8">
        <v>45930</v>
      </c>
      <c r="B461" t="s">
        <v>249</v>
      </c>
      <c r="C461" t="s">
        <v>233</v>
      </c>
      <c r="D461" s="20">
        <v>9015</v>
      </c>
      <c r="E461" t="s">
        <v>291</v>
      </c>
      <c r="F461" t="s">
        <v>333</v>
      </c>
      <c r="G461" t="s">
        <v>25</v>
      </c>
      <c r="H461" t="s">
        <v>336</v>
      </c>
      <c r="I461">
        <v>9</v>
      </c>
      <c r="J461">
        <v>3</v>
      </c>
      <c r="K461" s="20">
        <v>-9015</v>
      </c>
      <c r="L461" t="s">
        <v>269</v>
      </c>
      <c r="M461" t="s">
        <v>51</v>
      </c>
      <c r="N461" t="s">
        <v>26</v>
      </c>
    </row>
    <row r="462" spans="1:14" x14ac:dyDescent="0.3">
      <c r="A462" s="8">
        <v>45930</v>
      </c>
      <c r="B462" t="s">
        <v>249</v>
      </c>
      <c r="C462" t="s">
        <v>247</v>
      </c>
      <c r="D462" s="20">
        <v>1000</v>
      </c>
      <c r="E462" t="s">
        <v>425</v>
      </c>
      <c r="F462" t="s">
        <v>334</v>
      </c>
      <c r="G462" t="s">
        <v>25</v>
      </c>
      <c r="H462" t="s">
        <v>337</v>
      </c>
      <c r="I462">
        <v>9</v>
      </c>
      <c r="J462">
        <v>3</v>
      </c>
      <c r="K462" s="20">
        <v>1000</v>
      </c>
      <c r="L462" t="s">
        <v>268</v>
      </c>
      <c r="M462" t="s">
        <v>78</v>
      </c>
      <c r="N462" t="s">
        <v>26</v>
      </c>
    </row>
    <row r="463" spans="1:14" x14ac:dyDescent="0.3">
      <c r="A463" s="8">
        <v>45931</v>
      </c>
      <c r="B463" t="s">
        <v>252</v>
      </c>
      <c r="C463" t="s">
        <v>148</v>
      </c>
      <c r="D463" s="20">
        <v>16015</v>
      </c>
      <c r="E463" t="s">
        <v>324</v>
      </c>
      <c r="F463" t="s">
        <v>333</v>
      </c>
      <c r="G463" t="s">
        <v>139</v>
      </c>
      <c r="H463" t="s">
        <v>336</v>
      </c>
      <c r="I463">
        <v>10</v>
      </c>
      <c r="J463">
        <v>4</v>
      </c>
      <c r="K463" s="20">
        <v>-16015</v>
      </c>
      <c r="L463" t="s">
        <v>269</v>
      </c>
      <c r="M463" t="s">
        <v>322</v>
      </c>
      <c r="N463" t="s">
        <v>138</v>
      </c>
    </row>
    <row r="464" spans="1:14" x14ac:dyDescent="0.3">
      <c r="A464" s="8">
        <v>45931</v>
      </c>
      <c r="B464" t="s">
        <v>252</v>
      </c>
      <c r="C464" t="s">
        <v>251</v>
      </c>
      <c r="D464" s="20">
        <v>1250</v>
      </c>
      <c r="E464" t="s">
        <v>428</v>
      </c>
      <c r="F464" t="s">
        <v>334</v>
      </c>
      <c r="G464" t="s">
        <v>25</v>
      </c>
      <c r="H464" t="s">
        <v>337</v>
      </c>
      <c r="I464">
        <v>10</v>
      </c>
      <c r="J464">
        <v>4</v>
      </c>
      <c r="K464" s="20">
        <v>1250</v>
      </c>
      <c r="L464" t="s">
        <v>268</v>
      </c>
      <c r="M464" t="s">
        <v>30</v>
      </c>
      <c r="N464" t="s">
        <v>26</v>
      </c>
    </row>
    <row r="465" spans="1:14" x14ac:dyDescent="0.3">
      <c r="A465" s="8">
        <v>45931</v>
      </c>
      <c r="B465" t="s">
        <v>252</v>
      </c>
      <c r="C465" t="s">
        <v>156</v>
      </c>
      <c r="D465" s="20">
        <v>2500</v>
      </c>
      <c r="E465" t="s">
        <v>374</v>
      </c>
      <c r="F465" t="s">
        <v>334</v>
      </c>
      <c r="G465" t="s">
        <v>25</v>
      </c>
      <c r="H465" t="s">
        <v>337</v>
      </c>
      <c r="I465">
        <v>10</v>
      </c>
      <c r="J465">
        <v>4</v>
      </c>
      <c r="K465" s="20">
        <v>2500</v>
      </c>
      <c r="L465" t="s">
        <v>268</v>
      </c>
      <c r="M465" t="s">
        <v>75</v>
      </c>
      <c r="N465" t="s">
        <v>26</v>
      </c>
    </row>
    <row r="466" spans="1:14" x14ac:dyDescent="0.3">
      <c r="A466" s="8">
        <v>45931</v>
      </c>
      <c r="B466" t="s">
        <v>252</v>
      </c>
      <c r="C466" t="s">
        <v>172</v>
      </c>
      <c r="D466" s="20">
        <v>3600</v>
      </c>
      <c r="E466" t="s">
        <v>370</v>
      </c>
      <c r="F466" t="s">
        <v>334</v>
      </c>
      <c r="G466" t="s">
        <v>25</v>
      </c>
      <c r="H466" t="s">
        <v>337</v>
      </c>
      <c r="I466">
        <v>10</v>
      </c>
      <c r="J466">
        <v>4</v>
      </c>
      <c r="K466" s="20">
        <v>3600</v>
      </c>
      <c r="L466" t="s">
        <v>268</v>
      </c>
      <c r="M466" t="s">
        <v>58</v>
      </c>
      <c r="N466" t="s">
        <v>26</v>
      </c>
    </row>
    <row r="467" spans="1:14" x14ac:dyDescent="0.3">
      <c r="A467" s="8">
        <v>45931</v>
      </c>
      <c r="B467" t="s">
        <v>252</v>
      </c>
      <c r="C467" t="s">
        <v>255</v>
      </c>
      <c r="D467" s="20">
        <v>500</v>
      </c>
      <c r="E467" t="s">
        <v>429</v>
      </c>
      <c r="F467" t="s">
        <v>334</v>
      </c>
      <c r="G467" t="s">
        <v>25</v>
      </c>
      <c r="H467" t="s">
        <v>337</v>
      </c>
      <c r="I467">
        <v>10</v>
      </c>
      <c r="J467">
        <v>4</v>
      </c>
      <c r="K467" s="20">
        <v>500</v>
      </c>
      <c r="L467" t="s">
        <v>268</v>
      </c>
      <c r="M467" t="s">
        <v>52</v>
      </c>
      <c r="N467" t="s">
        <v>26</v>
      </c>
    </row>
    <row r="468" spans="1:14" x14ac:dyDescent="0.3">
      <c r="A468" s="8">
        <v>45931</v>
      </c>
      <c r="B468" t="s">
        <v>252</v>
      </c>
      <c r="C468" t="s">
        <v>248</v>
      </c>
      <c r="D468" s="20">
        <v>2000</v>
      </c>
      <c r="E468" t="s">
        <v>426</v>
      </c>
      <c r="F468" t="s">
        <v>334</v>
      </c>
      <c r="G468" t="s">
        <v>25</v>
      </c>
      <c r="H468" t="s">
        <v>337</v>
      </c>
      <c r="I468">
        <v>10</v>
      </c>
      <c r="J468">
        <v>4</v>
      </c>
      <c r="K468" s="20">
        <v>2000</v>
      </c>
      <c r="L468" t="s">
        <v>268</v>
      </c>
      <c r="M468" t="s">
        <v>71</v>
      </c>
      <c r="N468" t="s">
        <v>26</v>
      </c>
    </row>
    <row r="469" spans="1:14" x14ac:dyDescent="0.3">
      <c r="A469" s="8">
        <v>45934</v>
      </c>
      <c r="B469" t="s">
        <v>252</v>
      </c>
      <c r="C469" t="s">
        <v>253</v>
      </c>
      <c r="D469" s="20">
        <v>260</v>
      </c>
      <c r="E469" t="s">
        <v>272</v>
      </c>
      <c r="F469" t="s">
        <v>333</v>
      </c>
      <c r="G469" t="s">
        <v>136</v>
      </c>
      <c r="H469" t="s">
        <v>336</v>
      </c>
      <c r="I469">
        <v>10</v>
      </c>
      <c r="J469">
        <v>4</v>
      </c>
      <c r="K469" s="20">
        <v>-260</v>
      </c>
      <c r="L469" t="s">
        <v>269</v>
      </c>
      <c r="M469" t="s">
        <v>137</v>
      </c>
      <c r="N469" t="s">
        <v>135</v>
      </c>
    </row>
    <row r="470" spans="1:14" x14ac:dyDescent="0.3">
      <c r="A470" s="8">
        <v>45934</v>
      </c>
      <c r="B470" t="s">
        <v>252</v>
      </c>
      <c r="C470" t="s">
        <v>255</v>
      </c>
      <c r="D470" s="20">
        <v>500</v>
      </c>
      <c r="E470" t="s">
        <v>429</v>
      </c>
      <c r="F470" t="s">
        <v>334</v>
      </c>
      <c r="G470" t="s">
        <v>25</v>
      </c>
      <c r="H470" t="s">
        <v>337</v>
      </c>
      <c r="I470">
        <v>10</v>
      </c>
      <c r="J470">
        <v>4</v>
      </c>
      <c r="K470" s="20">
        <v>500</v>
      </c>
      <c r="L470" t="s">
        <v>268</v>
      </c>
      <c r="M470" t="s">
        <v>52</v>
      </c>
      <c r="N470" t="s">
        <v>26</v>
      </c>
    </row>
    <row r="471" spans="1:14" x14ac:dyDescent="0.3">
      <c r="A471" s="8">
        <v>45935</v>
      </c>
      <c r="B471" t="s">
        <v>252</v>
      </c>
      <c r="C471" t="s">
        <v>164</v>
      </c>
      <c r="D471" s="20">
        <v>1920</v>
      </c>
      <c r="E471" t="s">
        <v>379</v>
      </c>
      <c r="F471" t="s">
        <v>334</v>
      </c>
      <c r="G471" t="s">
        <v>25</v>
      </c>
      <c r="H471" t="s">
        <v>337</v>
      </c>
      <c r="I471">
        <v>10</v>
      </c>
      <c r="J471">
        <v>4</v>
      </c>
      <c r="K471" s="20">
        <v>1920</v>
      </c>
      <c r="L471" t="s">
        <v>268</v>
      </c>
      <c r="M471" t="s">
        <v>321</v>
      </c>
      <c r="N471" t="s">
        <v>26</v>
      </c>
    </row>
    <row r="472" spans="1:14" x14ac:dyDescent="0.3">
      <c r="A472" s="8">
        <v>45936</v>
      </c>
      <c r="B472" t="s">
        <v>252</v>
      </c>
      <c r="C472" t="s">
        <v>175</v>
      </c>
      <c r="D472" s="20">
        <v>2000</v>
      </c>
      <c r="E472" t="s">
        <v>372</v>
      </c>
      <c r="F472" t="s">
        <v>334</v>
      </c>
      <c r="G472" t="s">
        <v>25</v>
      </c>
      <c r="H472" t="s">
        <v>337</v>
      </c>
      <c r="I472">
        <v>10</v>
      </c>
      <c r="J472">
        <v>4</v>
      </c>
      <c r="K472" s="20">
        <v>2000</v>
      </c>
      <c r="L472" t="s">
        <v>268</v>
      </c>
      <c r="M472" t="s">
        <v>43</v>
      </c>
      <c r="N472" t="s">
        <v>26</v>
      </c>
    </row>
    <row r="473" spans="1:14" x14ac:dyDescent="0.3">
      <c r="A473" s="8">
        <v>45937</v>
      </c>
      <c r="B473" t="s">
        <v>252</v>
      </c>
      <c r="C473" t="s">
        <v>202</v>
      </c>
      <c r="D473" s="20">
        <v>1000</v>
      </c>
      <c r="E473" t="s">
        <v>403</v>
      </c>
      <c r="F473" t="s">
        <v>334</v>
      </c>
      <c r="G473" t="s">
        <v>25</v>
      </c>
      <c r="H473" t="s">
        <v>337</v>
      </c>
      <c r="I473">
        <v>10</v>
      </c>
      <c r="J473">
        <v>4</v>
      </c>
      <c r="K473" s="20">
        <v>1000</v>
      </c>
      <c r="L473" t="s">
        <v>268</v>
      </c>
      <c r="M473" t="s">
        <v>80</v>
      </c>
      <c r="N473" t="s">
        <v>26</v>
      </c>
    </row>
    <row r="474" spans="1:14" x14ac:dyDescent="0.3">
      <c r="A474" s="8">
        <v>45941</v>
      </c>
      <c r="B474" t="s">
        <v>252</v>
      </c>
      <c r="C474" t="s">
        <v>350</v>
      </c>
      <c r="D474" s="20">
        <v>239</v>
      </c>
      <c r="E474" t="s">
        <v>292</v>
      </c>
      <c r="F474" t="s">
        <v>333</v>
      </c>
      <c r="G474" t="s">
        <v>313</v>
      </c>
      <c r="H474" t="s">
        <v>336</v>
      </c>
      <c r="I474">
        <v>10</v>
      </c>
      <c r="J474">
        <v>4</v>
      </c>
      <c r="K474" s="20">
        <v>-239</v>
      </c>
      <c r="L474" t="s">
        <v>269</v>
      </c>
      <c r="M474" t="s">
        <v>113</v>
      </c>
      <c r="N474" t="s">
        <v>103</v>
      </c>
    </row>
    <row r="475" spans="1:14" x14ac:dyDescent="0.3">
      <c r="A475" s="8">
        <v>45942</v>
      </c>
      <c r="B475" t="s">
        <v>252</v>
      </c>
      <c r="C475" t="s">
        <v>343</v>
      </c>
      <c r="D475" s="20">
        <v>5259.37</v>
      </c>
      <c r="E475" t="s">
        <v>312</v>
      </c>
      <c r="F475" t="s">
        <v>333</v>
      </c>
      <c r="G475" t="s">
        <v>122</v>
      </c>
      <c r="H475" t="s">
        <v>336</v>
      </c>
      <c r="I475">
        <v>10</v>
      </c>
      <c r="J475">
        <v>4</v>
      </c>
      <c r="K475" s="20">
        <v>-5259.37</v>
      </c>
      <c r="L475" t="s">
        <v>269</v>
      </c>
      <c r="M475" t="s">
        <v>311</v>
      </c>
      <c r="N475" t="s">
        <v>121</v>
      </c>
    </row>
    <row r="476" spans="1:14" x14ac:dyDescent="0.3">
      <c r="A476" s="8">
        <v>45942</v>
      </c>
      <c r="B476" t="s">
        <v>252</v>
      </c>
      <c r="C476" t="s">
        <v>254</v>
      </c>
      <c r="D476" s="20">
        <v>650</v>
      </c>
      <c r="E476" t="s">
        <v>272</v>
      </c>
      <c r="F476" t="s">
        <v>333</v>
      </c>
      <c r="G476" t="s">
        <v>136</v>
      </c>
      <c r="H476" t="s">
        <v>336</v>
      </c>
      <c r="I476">
        <v>10</v>
      </c>
      <c r="J476">
        <v>4</v>
      </c>
      <c r="K476" s="20">
        <v>-650</v>
      </c>
      <c r="L476" t="s">
        <v>269</v>
      </c>
      <c r="M476" t="s">
        <v>137</v>
      </c>
      <c r="N476" t="s">
        <v>135</v>
      </c>
    </row>
    <row r="477" spans="1:14" x14ac:dyDescent="0.3">
      <c r="A477" s="8">
        <v>45942</v>
      </c>
      <c r="B477" t="s">
        <v>252</v>
      </c>
      <c r="C477" t="s">
        <v>349</v>
      </c>
      <c r="D477" s="20">
        <v>4000</v>
      </c>
      <c r="E477" t="s">
        <v>413</v>
      </c>
      <c r="F477" t="s">
        <v>334</v>
      </c>
      <c r="G477" t="s">
        <v>89</v>
      </c>
      <c r="H477" t="s">
        <v>337</v>
      </c>
      <c r="I477">
        <v>10</v>
      </c>
      <c r="J477">
        <v>4</v>
      </c>
      <c r="K477" s="20">
        <v>4000</v>
      </c>
      <c r="L477" t="s">
        <v>268</v>
      </c>
      <c r="M477" t="s">
        <v>88</v>
      </c>
      <c r="N477" t="s">
        <v>26</v>
      </c>
    </row>
    <row r="478" spans="1:14" x14ac:dyDescent="0.3">
      <c r="A478" s="8">
        <v>45942</v>
      </c>
      <c r="B478" t="s">
        <v>252</v>
      </c>
      <c r="C478" t="s">
        <v>167</v>
      </c>
      <c r="D478" s="20">
        <v>1800</v>
      </c>
      <c r="E478" t="s">
        <v>365</v>
      </c>
      <c r="F478" t="s">
        <v>334</v>
      </c>
      <c r="G478" t="s">
        <v>25</v>
      </c>
      <c r="H478" t="s">
        <v>337</v>
      </c>
      <c r="I478">
        <v>10</v>
      </c>
      <c r="J478">
        <v>4</v>
      </c>
      <c r="K478" s="20">
        <v>1800</v>
      </c>
      <c r="L478" t="s">
        <v>268</v>
      </c>
      <c r="M478" t="s">
        <v>49</v>
      </c>
      <c r="N478" t="s">
        <v>26</v>
      </c>
    </row>
    <row r="479" spans="1:14" x14ac:dyDescent="0.3">
      <c r="A479" s="8">
        <v>45943</v>
      </c>
      <c r="B479" t="s">
        <v>252</v>
      </c>
      <c r="C479" t="s">
        <v>172</v>
      </c>
      <c r="D479" s="20">
        <v>3600</v>
      </c>
      <c r="E479" t="s">
        <v>370</v>
      </c>
      <c r="F479" t="s">
        <v>334</v>
      </c>
      <c r="G479" t="s">
        <v>25</v>
      </c>
      <c r="H479" t="s">
        <v>337</v>
      </c>
      <c r="I479">
        <v>10</v>
      </c>
      <c r="J479">
        <v>4</v>
      </c>
      <c r="K479" s="20">
        <v>3600</v>
      </c>
      <c r="L479" t="s">
        <v>268</v>
      </c>
      <c r="M479" t="s">
        <v>58</v>
      </c>
      <c r="N479" t="s">
        <v>26</v>
      </c>
    </row>
    <row r="480" spans="1:14" x14ac:dyDescent="0.3">
      <c r="A480" s="8">
        <v>45943</v>
      </c>
      <c r="B480" t="s">
        <v>252</v>
      </c>
      <c r="C480" t="s">
        <v>172</v>
      </c>
      <c r="D480" s="20">
        <v>18000</v>
      </c>
      <c r="E480" t="s">
        <v>294</v>
      </c>
      <c r="F480" t="s">
        <v>333</v>
      </c>
      <c r="G480" t="s">
        <v>25</v>
      </c>
      <c r="H480" t="s">
        <v>336</v>
      </c>
      <c r="I480">
        <v>10</v>
      </c>
      <c r="J480">
        <v>4</v>
      </c>
      <c r="K480" s="20">
        <v>-18000</v>
      </c>
      <c r="L480" t="s">
        <v>269</v>
      </c>
      <c r="M480" t="s">
        <v>58</v>
      </c>
      <c r="N480" t="s">
        <v>26</v>
      </c>
    </row>
    <row r="481" spans="1:14" x14ac:dyDescent="0.3">
      <c r="A481" s="8">
        <v>45945</v>
      </c>
      <c r="B481" t="s">
        <v>252</v>
      </c>
      <c r="C481" t="s">
        <v>176</v>
      </c>
      <c r="D481" s="20">
        <v>7600</v>
      </c>
      <c r="E481" t="s">
        <v>375</v>
      </c>
      <c r="F481" t="s">
        <v>334</v>
      </c>
      <c r="G481" t="s">
        <v>25</v>
      </c>
      <c r="H481" t="s">
        <v>337</v>
      </c>
      <c r="I481">
        <v>10</v>
      </c>
      <c r="J481">
        <v>4</v>
      </c>
      <c r="K481" s="20">
        <v>7600</v>
      </c>
      <c r="L481" t="s">
        <v>268</v>
      </c>
      <c r="M481" t="s">
        <v>323</v>
      </c>
      <c r="N481" t="s">
        <v>26</v>
      </c>
    </row>
    <row r="482" spans="1:14" x14ac:dyDescent="0.3">
      <c r="A482" s="8">
        <v>45945</v>
      </c>
      <c r="B482" t="s">
        <v>252</v>
      </c>
      <c r="C482" t="s">
        <v>185</v>
      </c>
      <c r="D482" s="20">
        <v>780</v>
      </c>
      <c r="E482" t="s">
        <v>281</v>
      </c>
      <c r="F482" t="s">
        <v>333</v>
      </c>
      <c r="G482" t="s">
        <v>105</v>
      </c>
      <c r="H482" t="s">
        <v>336</v>
      </c>
      <c r="I482">
        <v>10</v>
      </c>
      <c r="J482">
        <v>4</v>
      </c>
      <c r="K482" s="20">
        <v>-780</v>
      </c>
      <c r="L482" t="s">
        <v>269</v>
      </c>
      <c r="M482" t="s">
        <v>142</v>
      </c>
      <c r="N482" t="s">
        <v>335</v>
      </c>
    </row>
    <row r="483" spans="1:14" x14ac:dyDescent="0.3">
      <c r="A483" s="8">
        <v>45945</v>
      </c>
      <c r="B483" t="s">
        <v>252</v>
      </c>
      <c r="C483" t="s">
        <v>177</v>
      </c>
      <c r="D483" s="20">
        <v>11500</v>
      </c>
      <c r="E483" t="s">
        <v>373</v>
      </c>
      <c r="F483" t="s">
        <v>334</v>
      </c>
      <c r="G483" t="s">
        <v>139</v>
      </c>
      <c r="H483" t="s">
        <v>337</v>
      </c>
      <c r="I483">
        <v>10</v>
      </c>
      <c r="J483">
        <v>4</v>
      </c>
      <c r="K483" s="20">
        <v>11500</v>
      </c>
      <c r="L483" t="s">
        <v>268</v>
      </c>
      <c r="M483" t="s">
        <v>141</v>
      </c>
      <c r="N483" t="s">
        <v>26</v>
      </c>
    </row>
    <row r="484" spans="1:14" x14ac:dyDescent="0.3">
      <c r="A484" s="8">
        <v>45945</v>
      </c>
      <c r="B484" t="s">
        <v>252</v>
      </c>
      <c r="C484" t="s">
        <v>342</v>
      </c>
      <c r="D484" s="20">
        <v>7005</v>
      </c>
      <c r="E484" t="s">
        <v>273</v>
      </c>
      <c r="F484" t="s">
        <v>333</v>
      </c>
      <c r="G484" t="s">
        <v>98</v>
      </c>
      <c r="H484" t="s">
        <v>336</v>
      </c>
      <c r="I484">
        <v>10</v>
      </c>
      <c r="J484">
        <v>4</v>
      </c>
      <c r="K484" s="20">
        <v>-7005</v>
      </c>
      <c r="L484" t="s">
        <v>269</v>
      </c>
      <c r="M484" t="s">
        <v>116</v>
      </c>
      <c r="N484" t="s">
        <v>94</v>
      </c>
    </row>
    <row r="485" spans="1:14" x14ac:dyDescent="0.3">
      <c r="A485" s="8">
        <v>45946</v>
      </c>
      <c r="B485" t="s">
        <v>252</v>
      </c>
      <c r="C485" t="s">
        <v>195</v>
      </c>
      <c r="D485" s="20">
        <v>181</v>
      </c>
      <c r="E485" t="s">
        <v>328</v>
      </c>
      <c r="F485" t="s">
        <v>333</v>
      </c>
      <c r="G485" t="s">
        <v>319</v>
      </c>
      <c r="H485" t="s">
        <v>336</v>
      </c>
      <c r="I485">
        <v>10</v>
      </c>
      <c r="J485">
        <v>4</v>
      </c>
      <c r="K485" s="20">
        <v>-181</v>
      </c>
      <c r="L485" t="s">
        <v>269</v>
      </c>
      <c r="M485" t="s">
        <v>315</v>
      </c>
      <c r="N485" t="s">
        <v>90</v>
      </c>
    </row>
    <row r="486" spans="1:14" x14ac:dyDescent="0.3">
      <c r="A486" s="8">
        <v>45946</v>
      </c>
      <c r="B486" t="s">
        <v>252</v>
      </c>
      <c r="C486" t="s">
        <v>163</v>
      </c>
      <c r="D486" s="20">
        <v>2000</v>
      </c>
      <c r="E486" t="s">
        <v>377</v>
      </c>
      <c r="F486" t="s">
        <v>334</v>
      </c>
      <c r="G486" t="s">
        <v>25</v>
      </c>
      <c r="H486" t="s">
        <v>337</v>
      </c>
      <c r="I486">
        <v>10</v>
      </c>
      <c r="J486">
        <v>4</v>
      </c>
      <c r="K486" s="20">
        <v>2000</v>
      </c>
      <c r="L486" t="s">
        <v>268</v>
      </c>
      <c r="M486" t="s">
        <v>34</v>
      </c>
      <c r="N486" t="s">
        <v>26</v>
      </c>
    </row>
    <row r="487" spans="1:14" x14ac:dyDescent="0.3">
      <c r="A487" s="8">
        <v>45946</v>
      </c>
      <c r="B487" t="s">
        <v>252</v>
      </c>
      <c r="C487" t="s">
        <v>202</v>
      </c>
      <c r="D487" s="20">
        <v>500</v>
      </c>
      <c r="E487" t="s">
        <v>403</v>
      </c>
      <c r="F487" t="s">
        <v>334</v>
      </c>
      <c r="G487" t="s">
        <v>25</v>
      </c>
      <c r="H487" t="s">
        <v>337</v>
      </c>
      <c r="I487">
        <v>10</v>
      </c>
      <c r="J487">
        <v>4</v>
      </c>
      <c r="K487" s="20">
        <v>500</v>
      </c>
      <c r="L487" t="s">
        <v>268</v>
      </c>
      <c r="M487" t="s">
        <v>80</v>
      </c>
      <c r="N487" t="s">
        <v>26</v>
      </c>
    </row>
    <row r="488" spans="1:14" x14ac:dyDescent="0.3">
      <c r="A488" s="8">
        <v>45949</v>
      </c>
      <c r="B488" t="s">
        <v>252</v>
      </c>
      <c r="C488" t="s">
        <v>233</v>
      </c>
      <c r="D488" s="20">
        <v>5015</v>
      </c>
      <c r="E488" t="s">
        <v>291</v>
      </c>
      <c r="F488" t="s">
        <v>333</v>
      </c>
      <c r="G488" t="s">
        <v>25</v>
      </c>
      <c r="H488" t="s">
        <v>336</v>
      </c>
      <c r="I488">
        <v>10</v>
      </c>
      <c r="J488">
        <v>4</v>
      </c>
      <c r="K488" s="20">
        <v>-5015</v>
      </c>
      <c r="L488" t="s">
        <v>269</v>
      </c>
      <c r="M488" t="s">
        <v>51</v>
      </c>
      <c r="N488" t="s">
        <v>26</v>
      </c>
    </row>
    <row r="489" spans="1:14" x14ac:dyDescent="0.3">
      <c r="A489" s="8">
        <v>45949</v>
      </c>
      <c r="B489" t="s">
        <v>252</v>
      </c>
      <c r="C489" t="s">
        <v>148</v>
      </c>
      <c r="D489" s="20">
        <v>22015</v>
      </c>
      <c r="E489" t="s">
        <v>324</v>
      </c>
      <c r="F489" t="s">
        <v>333</v>
      </c>
      <c r="G489" t="s">
        <v>139</v>
      </c>
      <c r="H489" t="s">
        <v>336</v>
      </c>
      <c r="I489">
        <v>10</v>
      </c>
      <c r="J489">
        <v>4</v>
      </c>
      <c r="K489" s="20">
        <v>-22015</v>
      </c>
      <c r="L489" t="s">
        <v>269</v>
      </c>
      <c r="M489" t="s">
        <v>322</v>
      </c>
      <c r="N489" t="s">
        <v>138</v>
      </c>
    </row>
    <row r="490" spans="1:14" x14ac:dyDescent="0.3">
      <c r="A490" s="8">
        <v>45949</v>
      </c>
      <c r="B490" t="s">
        <v>252</v>
      </c>
      <c r="C490" t="s">
        <v>202</v>
      </c>
      <c r="D490" s="20">
        <v>500</v>
      </c>
      <c r="E490" t="s">
        <v>403</v>
      </c>
      <c r="F490" t="s">
        <v>334</v>
      </c>
      <c r="G490" t="s">
        <v>25</v>
      </c>
      <c r="H490" t="s">
        <v>337</v>
      </c>
      <c r="I490">
        <v>10</v>
      </c>
      <c r="J490">
        <v>4</v>
      </c>
      <c r="K490" s="20">
        <v>500</v>
      </c>
      <c r="L490" t="s">
        <v>268</v>
      </c>
      <c r="M490" t="s">
        <v>80</v>
      </c>
      <c r="N490" t="s">
        <v>26</v>
      </c>
    </row>
    <row r="491" spans="1:14" x14ac:dyDescent="0.3">
      <c r="A491" s="8">
        <v>45949</v>
      </c>
      <c r="B491" t="s">
        <v>252</v>
      </c>
      <c r="C491" t="s">
        <v>173</v>
      </c>
      <c r="D491" s="20">
        <v>1400</v>
      </c>
      <c r="E491" t="s">
        <v>400</v>
      </c>
      <c r="F491" t="s">
        <v>334</v>
      </c>
      <c r="G491" t="s">
        <v>25</v>
      </c>
      <c r="H491" t="s">
        <v>337</v>
      </c>
      <c r="I491">
        <v>10</v>
      </c>
      <c r="J491">
        <v>4</v>
      </c>
      <c r="K491" s="20">
        <v>1400</v>
      </c>
      <c r="L491" t="s">
        <v>268</v>
      </c>
      <c r="M491" t="s">
        <v>41</v>
      </c>
      <c r="N491" t="s">
        <v>26</v>
      </c>
    </row>
    <row r="492" spans="1:14" x14ac:dyDescent="0.3">
      <c r="A492" s="8">
        <v>45950</v>
      </c>
      <c r="B492" t="s">
        <v>252</v>
      </c>
      <c r="C492" t="s">
        <v>177</v>
      </c>
      <c r="D492" s="20">
        <v>2500</v>
      </c>
      <c r="E492" t="s">
        <v>373</v>
      </c>
      <c r="F492" t="s">
        <v>334</v>
      </c>
      <c r="G492" t="s">
        <v>139</v>
      </c>
      <c r="H492" t="s">
        <v>337</v>
      </c>
      <c r="I492">
        <v>10</v>
      </c>
      <c r="J492">
        <v>4</v>
      </c>
      <c r="K492" s="20">
        <v>2500</v>
      </c>
      <c r="L492" t="s">
        <v>268</v>
      </c>
      <c r="M492" t="s">
        <v>141</v>
      </c>
      <c r="N492" t="s">
        <v>26</v>
      </c>
    </row>
    <row r="493" spans="1:14" x14ac:dyDescent="0.3">
      <c r="A493" s="8">
        <v>45950</v>
      </c>
      <c r="B493" t="s">
        <v>252</v>
      </c>
      <c r="C493" t="s">
        <v>181</v>
      </c>
      <c r="D493" s="20">
        <v>2000</v>
      </c>
      <c r="E493" t="s">
        <v>382</v>
      </c>
      <c r="F493" t="s">
        <v>334</v>
      </c>
      <c r="G493" t="s">
        <v>25</v>
      </c>
      <c r="H493" t="s">
        <v>337</v>
      </c>
      <c r="I493">
        <v>10</v>
      </c>
      <c r="J493">
        <v>4</v>
      </c>
      <c r="K493" s="20">
        <v>2000</v>
      </c>
      <c r="L493" t="s">
        <v>268</v>
      </c>
      <c r="M493" t="s">
        <v>56</v>
      </c>
      <c r="N493" t="s">
        <v>26</v>
      </c>
    </row>
    <row r="494" spans="1:14" x14ac:dyDescent="0.3">
      <c r="A494" s="8">
        <v>45950</v>
      </c>
      <c r="B494" t="s">
        <v>252</v>
      </c>
      <c r="C494" t="s">
        <v>24</v>
      </c>
      <c r="D494" s="20">
        <v>2470.59</v>
      </c>
      <c r="E494" t="s">
        <v>295</v>
      </c>
      <c r="F494" t="s">
        <v>333</v>
      </c>
      <c r="G494" t="s">
        <v>98</v>
      </c>
      <c r="H494" t="s">
        <v>336</v>
      </c>
      <c r="I494">
        <v>10</v>
      </c>
      <c r="J494">
        <v>4</v>
      </c>
      <c r="K494" s="20">
        <v>-2470.59</v>
      </c>
      <c r="L494" t="s">
        <v>269</v>
      </c>
      <c r="M494" t="s">
        <v>143</v>
      </c>
      <c r="N494" t="s">
        <v>94</v>
      </c>
    </row>
    <row r="495" spans="1:14" x14ac:dyDescent="0.3">
      <c r="A495" s="8">
        <v>45950</v>
      </c>
      <c r="B495" t="s">
        <v>252</v>
      </c>
      <c r="C495" t="s">
        <v>349</v>
      </c>
      <c r="D495" s="20">
        <v>2000</v>
      </c>
      <c r="E495" t="s">
        <v>413</v>
      </c>
      <c r="F495" t="s">
        <v>334</v>
      </c>
      <c r="G495" t="s">
        <v>89</v>
      </c>
      <c r="H495" t="s">
        <v>337</v>
      </c>
      <c r="I495">
        <v>10</v>
      </c>
      <c r="J495">
        <v>4</v>
      </c>
      <c r="K495" s="20">
        <v>2000</v>
      </c>
      <c r="L495" t="s">
        <v>268</v>
      </c>
      <c r="M495" t="s">
        <v>88</v>
      </c>
      <c r="N495" t="s">
        <v>26</v>
      </c>
    </row>
    <row r="496" spans="1:14" x14ac:dyDescent="0.3">
      <c r="A496" s="8">
        <v>45951</v>
      </c>
      <c r="B496" t="s">
        <v>252</v>
      </c>
      <c r="C496" t="s">
        <v>183</v>
      </c>
      <c r="D496" s="20">
        <v>862</v>
      </c>
      <c r="E496" t="s">
        <v>392</v>
      </c>
      <c r="F496" t="s">
        <v>334</v>
      </c>
      <c r="G496" t="s">
        <v>25</v>
      </c>
      <c r="H496" t="s">
        <v>337</v>
      </c>
      <c r="I496">
        <v>10</v>
      </c>
      <c r="J496">
        <v>4</v>
      </c>
      <c r="K496" s="20">
        <v>862</v>
      </c>
      <c r="L496" t="s">
        <v>268</v>
      </c>
      <c r="M496" t="s">
        <v>19</v>
      </c>
      <c r="N496" t="s">
        <v>26</v>
      </c>
    </row>
    <row r="497" spans="1:14" x14ac:dyDescent="0.3">
      <c r="A497" s="8">
        <v>45952</v>
      </c>
      <c r="B497" t="s">
        <v>252</v>
      </c>
      <c r="C497" t="s">
        <v>185</v>
      </c>
      <c r="D497" s="20">
        <v>1000</v>
      </c>
      <c r="E497" t="s">
        <v>281</v>
      </c>
      <c r="F497" t="s">
        <v>333</v>
      </c>
      <c r="G497" t="s">
        <v>105</v>
      </c>
      <c r="H497" t="s">
        <v>336</v>
      </c>
      <c r="I497">
        <v>10</v>
      </c>
      <c r="J497">
        <v>4</v>
      </c>
      <c r="K497" s="20">
        <v>-1000</v>
      </c>
      <c r="L497" t="s">
        <v>269</v>
      </c>
      <c r="M497" t="s">
        <v>142</v>
      </c>
      <c r="N497" t="s">
        <v>335</v>
      </c>
    </row>
    <row r="498" spans="1:14" x14ac:dyDescent="0.3">
      <c r="A498" s="8">
        <v>45952</v>
      </c>
      <c r="B498" t="s">
        <v>252</v>
      </c>
      <c r="C498" t="s">
        <v>183</v>
      </c>
      <c r="D498" s="20">
        <v>1000</v>
      </c>
      <c r="E498" t="s">
        <v>392</v>
      </c>
      <c r="F498" t="s">
        <v>334</v>
      </c>
      <c r="G498" t="s">
        <v>25</v>
      </c>
      <c r="H498" t="s">
        <v>337</v>
      </c>
      <c r="I498">
        <v>10</v>
      </c>
      <c r="J498">
        <v>4</v>
      </c>
      <c r="K498" s="20">
        <v>1000</v>
      </c>
      <c r="L498" t="s">
        <v>268</v>
      </c>
      <c r="M498" t="s">
        <v>19</v>
      </c>
      <c r="N498" t="s">
        <v>26</v>
      </c>
    </row>
    <row r="499" spans="1:14" x14ac:dyDescent="0.3">
      <c r="A499" s="8">
        <v>45954</v>
      </c>
      <c r="B499" t="s">
        <v>252</v>
      </c>
      <c r="C499" t="s">
        <v>349</v>
      </c>
      <c r="D499" s="20">
        <v>4500</v>
      </c>
      <c r="E499" t="s">
        <v>413</v>
      </c>
      <c r="F499" t="s">
        <v>334</v>
      </c>
      <c r="G499" t="s">
        <v>89</v>
      </c>
      <c r="H499" t="s">
        <v>337</v>
      </c>
      <c r="I499">
        <v>10</v>
      </c>
      <c r="J499">
        <v>4</v>
      </c>
      <c r="K499" s="20">
        <v>4500</v>
      </c>
      <c r="L499" t="s">
        <v>268</v>
      </c>
      <c r="M499" t="s">
        <v>88</v>
      </c>
      <c r="N499" t="s">
        <v>26</v>
      </c>
    </row>
    <row r="500" spans="1:14" x14ac:dyDescent="0.3">
      <c r="A500" s="8">
        <v>45954</v>
      </c>
      <c r="B500" t="s">
        <v>252</v>
      </c>
      <c r="C500" t="s">
        <v>145</v>
      </c>
      <c r="D500" s="20">
        <v>59</v>
      </c>
      <c r="E500" t="s">
        <v>326</v>
      </c>
      <c r="F500" t="s">
        <v>333</v>
      </c>
      <c r="G500" t="s">
        <v>319</v>
      </c>
      <c r="H500" t="s">
        <v>336</v>
      </c>
      <c r="I500">
        <v>10</v>
      </c>
      <c r="J500">
        <v>4</v>
      </c>
      <c r="K500" s="20">
        <v>-59</v>
      </c>
      <c r="L500" t="s">
        <v>269</v>
      </c>
      <c r="M500" t="s">
        <v>318</v>
      </c>
      <c r="N500" t="s">
        <v>90</v>
      </c>
    </row>
    <row r="501" spans="1:14" x14ac:dyDescent="0.3">
      <c r="A501" s="8">
        <v>45954</v>
      </c>
      <c r="B501" t="s">
        <v>252</v>
      </c>
      <c r="C501" t="s">
        <v>148</v>
      </c>
      <c r="D501" s="20">
        <v>6500</v>
      </c>
      <c r="E501" t="s">
        <v>324</v>
      </c>
      <c r="F501" t="s">
        <v>333</v>
      </c>
      <c r="G501" t="s">
        <v>139</v>
      </c>
      <c r="H501" t="s">
        <v>336</v>
      </c>
      <c r="I501">
        <v>10</v>
      </c>
      <c r="J501">
        <v>4</v>
      </c>
      <c r="K501" s="20">
        <v>-6500</v>
      </c>
      <c r="L501" t="s">
        <v>269</v>
      </c>
      <c r="M501" t="s">
        <v>322</v>
      </c>
      <c r="N501" t="s">
        <v>138</v>
      </c>
    </row>
    <row r="502" spans="1:14" x14ac:dyDescent="0.3">
      <c r="A502" s="8">
        <v>45958</v>
      </c>
      <c r="B502" t="s">
        <v>252</v>
      </c>
      <c r="C502" t="s">
        <v>172</v>
      </c>
      <c r="D502" s="20">
        <v>3600</v>
      </c>
      <c r="E502" t="s">
        <v>370</v>
      </c>
      <c r="F502" t="s">
        <v>334</v>
      </c>
      <c r="G502" t="s">
        <v>25</v>
      </c>
      <c r="H502" t="s">
        <v>337</v>
      </c>
      <c r="I502">
        <v>10</v>
      </c>
      <c r="J502">
        <v>4</v>
      </c>
      <c r="K502" s="20">
        <v>3600</v>
      </c>
      <c r="L502" t="s">
        <v>268</v>
      </c>
      <c r="M502" t="s">
        <v>58</v>
      </c>
      <c r="N502" t="s">
        <v>26</v>
      </c>
    </row>
    <row r="503" spans="1:14" x14ac:dyDescent="0.3">
      <c r="A503" s="8">
        <v>45960</v>
      </c>
      <c r="B503" t="s">
        <v>252</v>
      </c>
      <c r="C503" t="s">
        <v>233</v>
      </c>
      <c r="D503" s="20">
        <v>2000</v>
      </c>
      <c r="E503" t="s">
        <v>420</v>
      </c>
      <c r="F503" t="s">
        <v>334</v>
      </c>
      <c r="G503" t="s">
        <v>25</v>
      </c>
      <c r="H503" t="s">
        <v>337</v>
      </c>
      <c r="I503">
        <v>10</v>
      </c>
      <c r="J503">
        <v>4</v>
      </c>
      <c r="K503" s="20">
        <v>2000</v>
      </c>
      <c r="L503" t="s">
        <v>268</v>
      </c>
      <c r="M503" t="s">
        <v>51</v>
      </c>
      <c r="N503" t="s">
        <v>26</v>
      </c>
    </row>
    <row r="504" spans="1:14" x14ac:dyDescent="0.3">
      <c r="A504" s="8">
        <v>45960</v>
      </c>
      <c r="B504" t="s">
        <v>252</v>
      </c>
      <c r="C504" t="s">
        <v>177</v>
      </c>
      <c r="D504" s="20">
        <v>4000</v>
      </c>
      <c r="E504" t="s">
        <v>373</v>
      </c>
      <c r="F504" t="s">
        <v>334</v>
      </c>
      <c r="G504" t="s">
        <v>139</v>
      </c>
      <c r="H504" t="s">
        <v>337</v>
      </c>
      <c r="I504">
        <v>10</v>
      </c>
      <c r="J504">
        <v>4</v>
      </c>
      <c r="K504" s="20">
        <v>4000</v>
      </c>
      <c r="L504" t="s">
        <v>268</v>
      </c>
      <c r="M504" t="s">
        <v>141</v>
      </c>
      <c r="N504" t="s">
        <v>26</v>
      </c>
    </row>
    <row r="505" spans="1:14" x14ac:dyDescent="0.3">
      <c r="A505" s="8">
        <v>45960</v>
      </c>
      <c r="B505" t="s">
        <v>252</v>
      </c>
      <c r="C505" t="s">
        <v>345</v>
      </c>
      <c r="D505" s="20">
        <v>2000</v>
      </c>
      <c r="E505" t="s">
        <v>385</v>
      </c>
      <c r="F505" t="s">
        <v>334</v>
      </c>
      <c r="G505" t="s">
        <v>25</v>
      </c>
      <c r="H505" t="s">
        <v>337</v>
      </c>
      <c r="I505">
        <v>10</v>
      </c>
      <c r="J505">
        <v>4</v>
      </c>
      <c r="K505" s="20">
        <v>2000</v>
      </c>
      <c r="L505" t="s">
        <v>268</v>
      </c>
      <c r="M505" t="s">
        <v>54</v>
      </c>
      <c r="N505" t="s">
        <v>26</v>
      </c>
    </row>
    <row r="506" spans="1:14" x14ac:dyDescent="0.3">
      <c r="A506" s="8">
        <v>45960</v>
      </c>
      <c r="B506" t="s">
        <v>252</v>
      </c>
      <c r="C506" t="s">
        <v>233</v>
      </c>
      <c r="D506" s="20">
        <v>10015</v>
      </c>
      <c r="E506" t="s">
        <v>291</v>
      </c>
      <c r="F506" t="s">
        <v>333</v>
      </c>
      <c r="G506" t="s">
        <v>25</v>
      </c>
      <c r="H506" t="s">
        <v>336</v>
      </c>
      <c r="I506">
        <v>10</v>
      </c>
      <c r="J506">
        <v>4</v>
      </c>
      <c r="K506" s="20">
        <v>-10015</v>
      </c>
      <c r="L506" t="s">
        <v>269</v>
      </c>
      <c r="M506" t="s">
        <v>51</v>
      </c>
      <c r="N506" t="s">
        <v>26</v>
      </c>
    </row>
    <row r="507" spans="1:14" x14ac:dyDescent="0.3">
      <c r="A507" s="8">
        <v>45960</v>
      </c>
      <c r="B507" t="s">
        <v>252</v>
      </c>
      <c r="C507" t="s">
        <v>356</v>
      </c>
      <c r="D507" s="20">
        <v>15000</v>
      </c>
      <c r="E507" t="s">
        <v>301</v>
      </c>
      <c r="F507" t="s">
        <v>333</v>
      </c>
      <c r="G507" t="s">
        <v>133</v>
      </c>
      <c r="H507" t="s">
        <v>336</v>
      </c>
      <c r="I507">
        <v>10</v>
      </c>
      <c r="J507">
        <v>4</v>
      </c>
      <c r="K507" s="20">
        <v>-15000</v>
      </c>
      <c r="L507" t="s">
        <v>269</v>
      </c>
      <c r="M507" t="s">
        <v>134</v>
      </c>
      <c r="N507" t="s">
        <v>132</v>
      </c>
    </row>
    <row r="508" spans="1:14" x14ac:dyDescent="0.3">
      <c r="A508" s="8">
        <v>45960</v>
      </c>
      <c r="B508" t="s">
        <v>252</v>
      </c>
      <c r="C508" t="s">
        <v>353</v>
      </c>
      <c r="D508" s="20">
        <v>15000</v>
      </c>
      <c r="E508" t="s">
        <v>300</v>
      </c>
      <c r="F508" t="s">
        <v>333</v>
      </c>
      <c r="G508" t="s">
        <v>130</v>
      </c>
      <c r="H508" t="s">
        <v>336</v>
      </c>
      <c r="I508">
        <v>10</v>
      </c>
      <c r="J508">
        <v>4</v>
      </c>
      <c r="K508" s="20">
        <v>-15000</v>
      </c>
      <c r="L508" t="s">
        <v>269</v>
      </c>
      <c r="M508" t="s">
        <v>131</v>
      </c>
      <c r="N508" t="s">
        <v>103</v>
      </c>
    </row>
    <row r="509" spans="1:14" x14ac:dyDescent="0.3">
      <c r="A509" s="8">
        <v>45960</v>
      </c>
      <c r="B509" t="s">
        <v>252</v>
      </c>
      <c r="C509" t="s">
        <v>354</v>
      </c>
      <c r="D509" s="20">
        <v>10000</v>
      </c>
      <c r="E509" t="s">
        <v>390</v>
      </c>
      <c r="F509" t="s">
        <v>334</v>
      </c>
      <c r="G509" t="s">
        <v>9</v>
      </c>
      <c r="H509" t="s">
        <v>337</v>
      </c>
      <c r="I509">
        <v>10</v>
      </c>
      <c r="J509">
        <v>4</v>
      </c>
      <c r="K509" s="20">
        <v>10000</v>
      </c>
      <c r="L509" t="s">
        <v>268</v>
      </c>
      <c r="M509" t="s">
        <v>127</v>
      </c>
      <c r="N509" t="s">
        <v>126</v>
      </c>
    </row>
    <row r="510" spans="1:14" x14ac:dyDescent="0.3">
      <c r="A510" s="8">
        <v>45960</v>
      </c>
      <c r="B510" t="s">
        <v>252</v>
      </c>
      <c r="C510" t="s">
        <v>357</v>
      </c>
      <c r="D510" s="20">
        <v>13534.22</v>
      </c>
      <c r="E510" t="s">
        <v>302</v>
      </c>
      <c r="F510" t="s">
        <v>333</v>
      </c>
      <c r="G510" t="s">
        <v>117</v>
      </c>
      <c r="H510" t="s">
        <v>336</v>
      </c>
      <c r="I510">
        <v>10</v>
      </c>
      <c r="J510">
        <v>4</v>
      </c>
      <c r="K510" s="20">
        <v>-13534.22</v>
      </c>
      <c r="L510" t="s">
        <v>269</v>
      </c>
      <c r="M510" t="s">
        <v>118</v>
      </c>
      <c r="N510" t="s">
        <v>103</v>
      </c>
    </row>
    <row r="511" spans="1:14" x14ac:dyDescent="0.3">
      <c r="A511" s="8">
        <v>45960</v>
      </c>
      <c r="B511" t="s">
        <v>252</v>
      </c>
      <c r="C511" t="s">
        <v>360</v>
      </c>
      <c r="D511" s="20">
        <v>5000</v>
      </c>
      <c r="E511" t="s">
        <v>305</v>
      </c>
      <c r="F511" t="s">
        <v>333</v>
      </c>
      <c r="G511" t="s">
        <v>11</v>
      </c>
      <c r="H511" t="s">
        <v>336</v>
      </c>
      <c r="I511">
        <v>10</v>
      </c>
      <c r="J511">
        <v>4</v>
      </c>
      <c r="K511" s="20">
        <v>-5000</v>
      </c>
      <c r="L511" t="s">
        <v>269</v>
      </c>
      <c r="M511" t="s">
        <v>115</v>
      </c>
      <c r="N511" t="s">
        <v>103</v>
      </c>
    </row>
    <row r="512" spans="1:14" x14ac:dyDescent="0.3">
      <c r="A512" s="8">
        <v>45960</v>
      </c>
      <c r="B512" t="s">
        <v>252</v>
      </c>
      <c r="C512" t="s">
        <v>185</v>
      </c>
      <c r="D512" s="20">
        <v>690</v>
      </c>
      <c r="E512" t="s">
        <v>281</v>
      </c>
      <c r="F512" t="s">
        <v>333</v>
      </c>
      <c r="G512" t="s">
        <v>105</v>
      </c>
      <c r="H512" t="s">
        <v>336</v>
      </c>
      <c r="I512">
        <v>10</v>
      </c>
      <c r="J512">
        <v>4</v>
      </c>
      <c r="K512" s="20">
        <v>-690</v>
      </c>
      <c r="L512" t="s">
        <v>269</v>
      </c>
      <c r="M512" t="s">
        <v>142</v>
      </c>
      <c r="N512" t="s">
        <v>335</v>
      </c>
    </row>
    <row r="513" spans="1:14" x14ac:dyDescent="0.3">
      <c r="A513" s="8">
        <v>45960</v>
      </c>
      <c r="B513" t="s">
        <v>252</v>
      </c>
      <c r="C513" t="s">
        <v>361</v>
      </c>
      <c r="D513" s="20">
        <v>4000</v>
      </c>
      <c r="E513" t="s">
        <v>306</v>
      </c>
      <c r="F513" t="s">
        <v>333</v>
      </c>
      <c r="G513" t="s">
        <v>124</v>
      </c>
      <c r="H513" t="s">
        <v>336</v>
      </c>
      <c r="I513">
        <v>10</v>
      </c>
      <c r="J513">
        <v>4</v>
      </c>
      <c r="K513" s="20">
        <v>-4000</v>
      </c>
      <c r="L513" t="s">
        <v>269</v>
      </c>
      <c r="M513" t="s">
        <v>125</v>
      </c>
      <c r="N513" t="s">
        <v>103</v>
      </c>
    </row>
    <row r="514" spans="1:14" x14ac:dyDescent="0.3">
      <c r="A514" s="8">
        <v>45961</v>
      </c>
      <c r="B514" t="s">
        <v>252</v>
      </c>
      <c r="C514" t="s">
        <v>255</v>
      </c>
      <c r="D514" s="20">
        <v>600</v>
      </c>
      <c r="E514" t="s">
        <v>429</v>
      </c>
      <c r="F514" t="s">
        <v>334</v>
      </c>
      <c r="G514" t="s">
        <v>25</v>
      </c>
      <c r="H514" t="s">
        <v>337</v>
      </c>
      <c r="I514">
        <v>10</v>
      </c>
      <c r="J514">
        <v>4</v>
      </c>
      <c r="K514" s="20">
        <v>600</v>
      </c>
      <c r="L514" t="s">
        <v>268</v>
      </c>
      <c r="M514" t="s">
        <v>52</v>
      </c>
      <c r="N514" t="s">
        <v>26</v>
      </c>
    </row>
    <row r="515" spans="1:14" x14ac:dyDescent="0.3">
      <c r="A515" s="8">
        <v>45961</v>
      </c>
      <c r="B515" t="s">
        <v>252</v>
      </c>
      <c r="C515" t="s">
        <v>163</v>
      </c>
      <c r="D515" s="20">
        <v>1500</v>
      </c>
      <c r="E515" t="s">
        <v>377</v>
      </c>
      <c r="F515" t="s">
        <v>334</v>
      </c>
      <c r="G515" t="s">
        <v>25</v>
      </c>
      <c r="H515" t="s">
        <v>337</v>
      </c>
      <c r="I515">
        <v>10</v>
      </c>
      <c r="J515">
        <v>4</v>
      </c>
      <c r="K515" s="20">
        <v>1500</v>
      </c>
      <c r="L515" t="s">
        <v>268</v>
      </c>
      <c r="M515" t="s">
        <v>34</v>
      </c>
      <c r="N515" t="s">
        <v>26</v>
      </c>
    </row>
    <row r="516" spans="1:14" x14ac:dyDescent="0.3">
      <c r="A516" s="8">
        <v>45961</v>
      </c>
      <c r="B516" t="s">
        <v>252</v>
      </c>
      <c r="C516" t="s">
        <v>195</v>
      </c>
      <c r="D516" s="20">
        <v>181</v>
      </c>
      <c r="E516" t="s">
        <v>328</v>
      </c>
      <c r="F516" t="s">
        <v>333</v>
      </c>
      <c r="G516" t="s">
        <v>319</v>
      </c>
      <c r="H516" t="s">
        <v>336</v>
      </c>
      <c r="I516">
        <v>10</v>
      </c>
      <c r="J516">
        <v>4</v>
      </c>
      <c r="K516" s="20">
        <v>-181</v>
      </c>
      <c r="L516" t="s">
        <v>269</v>
      </c>
      <c r="M516" t="s">
        <v>315</v>
      </c>
      <c r="N516" t="s">
        <v>90</v>
      </c>
    </row>
    <row r="517" spans="1:14" x14ac:dyDescent="0.3">
      <c r="A517" s="8">
        <v>45962</v>
      </c>
      <c r="B517" t="s">
        <v>256</v>
      </c>
      <c r="C517" t="s">
        <v>148</v>
      </c>
      <c r="D517" s="20">
        <v>14515</v>
      </c>
      <c r="E517" t="s">
        <v>324</v>
      </c>
      <c r="F517" t="s">
        <v>333</v>
      </c>
      <c r="G517" t="s">
        <v>139</v>
      </c>
      <c r="H517" t="s">
        <v>336</v>
      </c>
      <c r="I517">
        <v>11</v>
      </c>
      <c r="J517">
        <v>4</v>
      </c>
      <c r="K517" s="20">
        <v>-14515</v>
      </c>
      <c r="L517" t="s">
        <v>269</v>
      </c>
      <c r="M517" t="s">
        <v>322</v>
      </c>
      <c r="N517" t="s">
        <v>138</v>
      </c>
    </row>
    <row r="518" spans="1:14" x14ac:dyDescent="0.3">
      <c r="A518" s="8">
        <v>45962</v>
      </c>
      <c r="B518" t="s">
        <v>256</v>
      </c>
      <c r="C518" t="s">
        <v>173</v>
      </c>
      <c r="D518" s="20">
        <v>1300</v>
      </c>
      <c r="E518" t="s">
        <v>400</v>
      </c>
      <c r="F518" t="s">
        <v>334</v>
      </c>
      <c r="G518" t="s">
        <v>25</v>
      </c>
      <c r="H518" t="s">
        <v>337</v>
      </c>
      <c r="I518">
        <v>11</v>
      </c>
      <c r="J518">
        <v>4</v>
      </c>
      <c r="K518" s="20">
        <v>1300</v>
      </c>
      <c r="L518" t="s">
        <v>268</v>
      </c>
      <c r="M518" t="s">
        <v>41</v>
      </c>
      <c r="N518" t="s">
        <v>26</v>
      </c>
    </row>
    <row r="519" spans="1:14" x14ac:dyDescent="0.3">
      <c r="A519" s="8">
        <v>45965</v>
      </c>
      <c r="B519" t="s">
        <v>256</v>
      </c>
      <c r="C519" t="s">
        <v>204</v>
      </c>
      <c r="D519" s="20">
        <v>3000</v>
      </c>
      <c r="E519" t="s">
        <v>404</v>
      </c>
      <c r="F519" t="s">
        <v>334</v>
      </c>
      <c r="G519" t="s">
        <v>25</v>
      </c>
      <c r="H519" t="s">
        <v>337</v>
      </c>
      <c r="I519">
        <v>11</v>
      </c>
      <c r="J519">
        <v>4</v>
      </c>
      <c r="K519" s="20">
        <v>3000</v>
      </c>
      <c r="L519" t="s">
        <v>268</v>
      </c>
      <c r="M519" t="s">
        <v>64</v>
      </c>
      <c r="N519" t="s">
        <v>26</v>
      </c>
    </row>
    <row r="520" spans="1:14" x14ac:dyDescent="0.3">
      <c r="A520" s="8">
        <v>45966</v>
      </c>
      <c r="B520" t="s">
        <v>256</v>
      </c>
      <c r="C520" t="s">
        <v>257</v>
      </c>
      <c r="D520" s="20">
        <v>330</v>
      </c>
      <c r="E520" t="s">
        <v>272</v>
      </c>
      <c r="F520" t="s">
        <v>333</v>
      </c>
      <c r="G520" t="s">
        <v>136</v>
      </c>
      <c r="H520" t="s">
        <v>336</v>
      </c>
      <c r="I520">
        <v>11</v>
      </c>
      <c r="J520">
        <v>4</v>
      </c>
      <c r="K520" s="20">
        <v>-330</v>
      </c>
      <c r="L520" t="s">
        <v>269</v>
      </c>
      <c r="M520" t="s">
        <v>137</v>
      </c>
      <c r="N520" t="s">
        <v>135</v>
      </c>
    </row>
    <row r="521" spans="1:14" x14ac:dyDescent="0.3">
      <c r="A521" s="8">
        <v>45966</v>
      </c>
      <c r="B521" t="s">
        <v>256</v>
      </c>
      <c r="C521" t="s">
        <v>167</v>
      </c>
      <c r="D521" s="20">
        <v>1800</v>
      </c>
      <c r="E521" t="s">
        <v>365</v>
      </c>
      <c r="F521" t="s">
        <v>334</v>
      </c>
      <c r="G521" t="s">
        <v>25</v>
      </c>
      <c r="H521" t="s">
        <v>337</v>
      </c>
      <c r="I521">
        <v>11</v>
      </c>
      <c r="J521">
        <v>4</v>
      </c>
      <c r="K521" s="20">
        <v>1800</v>
      </c>
      <c r="L521" t="s">
        <v>268</v>
      </c>
      <c r="M521" t="s">
        <v>49</v>
      </c>
      <c r="N521" t="s">
        <v>26</v>
      </c>
    </row>
    <row r="522" spans="1:14" x14ac:dyDescent="0.3">
      <c r="A522" s="8">
        <v>45966</v>
      </c>
      <c r="B522" t="s">
        <v>256</v>
      </c>
      <c r="C522" t="s">
        <v>145</v>
      </c>
      <c r="D522" s="20">
        <v>21</v>
      </c>
      <c r="E522" t="s">
        <v>326</v>
      </c>
      <c r="F522" t="s">
        <v>333</v>
      </c>
      <c r="G522" t="s">
        <v>319</v>
      </c>
      <c r="H522" t="s">
        <v>336</v>
      </c>
      <c r="I522">
        <v>11</v>
      </c>
      <c r="J522">
        <v>4</v>
      </c>
      <c r="K522" s="20">
        <v>-21</v>
      </c>
      <c r="L522" t="s">
        <v>269</v>
      </c>
      <c r="M522" t="s">
        <v>318</v>
      </c>
      <c r="N522" t="s">
        <v>90</v>
      </c>
    </row>
    <row r="523" spans="1:14" x14ac:dyDescent="0.3">
      <c r="A523" s="8">
        <v>45967</v>
      </c>
      <c r="B523" t="s">
        <v>256</v>
      </c>
      <c r="C523" t="s">
        <v>255</v>
      </c>
      <c r="D523" s="20">
        <v>600</v>
      </c>
      <c r="E523" t="s">
        <v>429</v>
      </c>
      <c r="F523" t="s">
        <v>334</v>
      </c>
      <c r="G523" t="s">
        <v>25</v>
      </c>
      <c r="H523" t="s">
        <v>337</v>
      </c>
      <c r="I523">
        <v>11</v>
      </c>
      <c r="J523">
        <v>4</v>
      </c>
      <c r="K523" s="20">
        <v>600</v>
      </c>
      <c r="L523" t="s">
        <v>268</v>
      </c>
      <c r="M523" t="s">
        <v>52</v>
      </c>
      <c r="N523" t="s">
        <v>26</v>
      </c>
    </row>
    <row r="524" spans="1:14" x14ac:dyDescent="0.3">
      <c r="A524" s="8">
        <v>45967</v>
      </c>
      <c r="B524" t="s">
        <v>256</v>
      </c>
      <c r="C524" t="s">
        <v>248</v>
      </c>
      <c r="D524" s="20">
        <v>2000</v>
      </c>
      <c r="E524" t="s">
        <v>426</v>
      </c>
      <c r="F524" t="s">
        <v>334</v>
      </c>
      <c r="G524" t="s">
        <v>25</v>
      </c>
      <c r="H524" t="s">
        <v>337</v>
      </c>
      <c r="I524">
        <v>11</v>
      </c>
      <c r="J524">
        <v>4</v>
      </c>
      <c r="K524" s="20">
        <v>2000</v>
      </c>
      <c r="L524" t="s">
        <v>268</v>
      </c>
      <c r="M524" t="s">
        <v>71</v>
      </c>
      <c r="N524" t="s">
        <v>26</v>
      </c>
    </row>
    <row r="525" spans="1:14" x14ac:dyDescent="0.3">
      <c r="A525" s="8">
        <v>45971</v>
      </c>
      <c r="B525" t="s">
        <v>256</v>
      </c>
      <c r="C525" t="s">
        <v>258</v>
      </c>
      <c r="D525" s="20">
        <v>270</v>
      </c>
      <c r="E525" t="s">
        <v>272</v>
      </c>
      <c r="F525" t="s">
        <v>333</v>
      </c>
      <c r="G525" t="s">
        <v>136</v>
      </c>
      <c r="H525" t="s">
        <v>336</v>
      </c>
      <c r="I525">
        <v>11</v>
      </c>
      <c r="J525">
        <v>4</v>
      </c>
      <c r="K525" s="20">
        <v>-270</v>
      </c>
      <c r="L525" t="s">
        <v>269</v>
      </c>
      <c r="M525" t="s">
        <v>137</v>
      </c>
      <c r="N525" t="s">
        <v>135</v>
      </c>
    </row>
    <row r="526" spans="1:14" x14ac:dyDescent="0.3">
      <c r="A526" s="8">
        <v>45972</v>
      </c>
      <c r="B526" t="s">
        <v>256</v>
      </c>
      <c r="C526" t="s">
        <v>343</v>
      </c>
      <c r="D526" s="20">
        <v>5259.37</v>
      </c>
      <c r="E526" t="s">
        <v>312</v>
      </c>
      <c r="F526" t="s">
        <v>333</v>
      </c>
      <c r="G526" t="s">
        <v>122</v>
      </c>
      <c r="H526" t="s">
        <v>336</v>
      </c>
      <c r="I526">
        <v>11</v>
      </c>
      <c r="J526">
        <v>4</v>
      </c>
      <c r="K526" s="20">
        <v>-5259.37</v>
      </c>
      <c r="L526" t="s">
        <v>269</v>
      </c>
      <c r="M526" t="s">
        <v>311</v>
      </c>
      <c r="N526" t="s">
        <v>121</v>
      </c>
    </row>
    <row r="527" spans="1:14" x14ac:dyDescent="0.3">
      <c r="A527" s="8">
        <v>45972</v>
      </c>
      <c r="B527" t="s">
        <v>256</v>
      </c>
      <c r="C527" t="s">
        <v>350</v>
      </c>
      <c r="D527" s="20">
        <v>239</v>
      </c>
      <c r="E527" t="s">
        <v>292</v>
      </c>
      <c r="F527" t="s">
        <v>333</v>
      </c>
      <c r="G527" t="s">
        <v>313</v>
      </c>
      <c r="H527" t="s">
        <v>336</v>
      </c>
      <c r="I527">
        <v>11</v>
      </c>
      <c r="J527">
        <v>4</v>
      </c>
      <c r="K527" s="20">
        <v>-239</v>
      </c>
      <c r="L527" t="s">
        <v>269</v>
      </c>
      <c r="M527" t="s">
        <v>113</v>
      </c>
      <c r="N527" t="s">
        <v>103</v>
      </c>
    </row>
    <row r="528" spans="1:14" x14ac:dyDescent="0.3">
      <c r="A528" s="8">
        <v>45974</v>
      </c>
      <c r="B528" t="s">
        <v>256</v>
      </c>
      <c r="C528" t="s">
        <v>259</v>
      </c>
      <c r="D528" s="20">
        <v>1080</v>
      </c>
      <c r="E528" t="s">
        <v>331</v>
      </c>
      <c r="F528" t="s">
        <v>333</v>
      </c>
      <c r="G528" t="s">
        <v>140</v>
      </c>
      <c r="H528" t="s">
        <v>336</v>
      </c>
      <c r="I528">
        <v>11</v>
      </c>
      <c r="J528">
        <v>4</v>
      </c>
      <c r="K528" s="20">
        <v>-1080</v>
      </c>
      <c r="L528" t="s">
        <v>269</v>
      </c>
      <c r="M528" t="s">
        <v>317</v>
      </c>
      <c r="N528" t="s">
        <v>90</v>
      </c>
    </row>
    <row r="529" spans="1:14" x14ac:dyDescent="0.3">
      <c r="A529" s="8">
        <v>45975</v>
      </c>
      <c r="B529" t="s">
        <v>256</v>
      </c>
      <c r="C529" t="s">
        <v>195</v>
      </c>
      <c r="D529" s="20">
        <v>181</v>
      </c>
      <c r="E529" t="s">
        <v>328</v>
      </c>
      <c r="F529" t="s">
        <v>333</v>
      </c>
      <c r="G529" t="s">
        <v>319</v>
      </c>
      <c r="H529" t="s">
        <v>336</v>
      </c>
      <c r="I529">
        <v>11</v>
      </c>
      <c r="J529">
        <v>4</v>
      </c>
      <c r="K529" s="20">
        <v>-181</v>
      </c>
      <c r="L529" t="s">
        <v>269</v>
      </c>
      <c r="M529" t="s">
        <v>315</v>
      </c>
      <c r="N529" t="s">
        <v>90</v>
      </c>
    </row>
    <row r="530" spans="1:14" x14ac:dyDescent="0.3">
      <c r="A530" s="8">
        <v>45975</v>
      </c>
      <c r="B530" t="s">
        <v>256</v>
      </c>
      <c r="C530" t="s">
        <v>176</v>
      </c>
      <c r="D530" s="20">
        <v>6800</v>
      </c>
      <c r="E530" t="s">
        <v>375</v>
      </c>
      <c r="F530" t="s">
        <v>334</v>
      </c>
      <c r="G530" t="s">
        <v>25</v>
      </c>
      <c r="H530" t="s">
        <v>337</v>
      </c>
      <c r="I530">
        <v>11</v>
      </c>
      <c r="J530">
        <v>4</v>
      </c>
      <c r="K530" s="20">
        <v>6800</v>
      </c>
      <c r="L530" t="s">
        <v>268</v>
      </c>
      <c r="M530" t="s">
        <v>323</v>
      </c>
      <c r="N530" t="s">
        <v>26</v>
      </c>
    </row>
    <row r="531" spans="1:14" x14ac:dyDescent="0.3">
      <c r="A531" s="8">
        <v>45975</v>
      </c>
      <c r="B531" t="s">
        <v>256</v>
      </c>
      <c r="C531" t="s">
        <v>172</v>
      </c>
      <c r="D531" s="20">
        <v>3600</v>
      </c>
      <c r="E531" t="s">
        <v>370</v>
      </c>
      <c r="F531" t="s">
        <v>334</v>
      </c>
      <c r="G531" t="s">
        <v>25</v>
      </c>
      <c r="H531" t="s">
        <v>337</v>
      </c>
      <c r="I531">
        <v>11</v>
      </c>
      <c r="J531">
        <v>4</v>
      </c>
      <c r="K531" s="20">
        <v>3600</v>
      </c>
      <c r="L531" t="s">
        <v>268</v>
      </c>
      <c r="M531" t="s">
        <v>58</v>
      </c>
      <c r="N531" t="s">
        <v>26</v>
      </c>
    </row>
    <row r="532" spans="1:14" x14ac:dyDescent="0.3">
      <c r="A532" s="8">
        <v>45975</v>
      </c>
      <c r="B532" t="s">
        <v>256</v>
      </c>
      <c r="C532" t="s">
        <v>194</v>
      </c>
      <c r="D532" s="20">
        <v>1999.8</v>
      </c>
      <c r="E532" t="s">
        <v>396</v>
      </c>
      <c r="F532" t="s">
        <v>334</v>
      </c>
      <c r="G532" t="s">
        <v>25</v>
      </c>
      <c r="H532" t="s">
        <v>337</v>
      </c>
      <c r="I532">
        <v>11</v>
      </c>
      <c r="J532">
        <v>4</v>
      </c>
      <c r="K532" s="20">
        <v>1999.8</v>
      </c>
      <c r="L532" t="s">
        <v>268</v>
      </c>
      <c r="M532" t="s">
        <v>87</v>
      </c>
      <c r="N532" t="s">
        <v>26</v>
      </c>
    </row>
    <row r="533" spans="1:14" x14ac:dyDescent="0.3">
      <c r="A533" s="8">
        <v>45976</v>
      </c>
      <c r="B533" t="s">
        <v>256</v>
      </c>
      <c r="C533" t="s">
        <v>194</v>
      </c>
      <c r="D533" s="20">
        <v>4000</v>
      </c>
      <c r="E533" t="s">
        <v>396</v>
      </c>
      <c r="F533" t="s">
        <v>334</v>
      </c>
      <c r="G533" t="s">
        <v>25</v>
      </c>
      <c r="H533" t="s">
        <v>337</v>
      </c>
      <c r="I533">
        <v>11</v>
      </c>
      <c r="J533">
        <v>4</v>
      </c>
      <c r="K533" s="20">
        <v>4000</v>
      </c>
      <c r="L533" t="s">
        <v>268</v>
      </c>
      <c r="M533" t="s">
        <v>87</v>
      </c>
      <c r="N533" t="s">
        <v>26</v>
      </c>
    </row>
    <row r="534" spans="1:14" x14ac:dyDescent="0.3">
      <c r="A534" s="8">
        <v>45977</v>
      </c>
      <c r="B534" t="s">
        <v>256</v>
      </c>
      <c r="C534" t="s">
        <v>148</v>
      </c>
      <c r="D534" s="20">
        <v>20015</v>
      </c>
      <c r="E534" t="s">
        <v>324</v>
      </c>
      <c r="F534" t="s">
        <v>333</v>
      </c>
      <c r="G534" t="s">
        <v>139</v>
      </c>
      <c r="H534" t="s">
        <v>336</v>
      </c>
      <c r="I534">
        <v>11</v>
      </c>
      <c r="J534">
        <v>4</v>
      </c>
      <c r="K534" s="20">
        <v>-20015</v>
      </c>
      <c r="L534" t="s">
        <v>269</v>
      </c>
      <c r="M534" t="s">
        <v>322</v>
      </c>
      <c r="N534" t="s">
        <v>138</v>
      </c>
    </row>
    <row r="535" spans="1:14" x14ac:dyDescent="0.3">
      <c r="A535" s="8">
        <v>45977</v>
      </c>
      <c r="B535" t="s">
        <v>256</v>
      </c>
      <c r="C535" t="s">
        <v>167</v>
      </c>
      <c r="D535" s="20">
        <v>3600</v>
      </c>
      <c r="E535" t="s">
        <v>365</v>
      </c>
      <c r="F535" t="s">
        <v>334</v>
      </c>
      <c r="G535" t="s">
        <v>25</v>
      </c>
      <c r="H535" t="s">
        <v>337</v>
      </c>
      <c r="I535">
        <v>11</v>
      </c>
      <c r="J535">
        <v>4</v>
      </c>
      <c r="K535" s="20">
        <v>3600</v>
      </c>
      <c r="L535" t="s">
        <v>268</v>
      </c>
      <c r="M535" t="s">
        <v>49</v>
      </c>
      <c r="N535" t="s">
        <v>26</v>
      </c>
    </row>
    <row r="536" spans="1:14" x14ac:dyDescent="0.3">
      <c r="A536" s="8">
        <v>45977</v>
      </c>
      <c r="B536" t="s">
        <v>256</v>
      </c>
      <c r="C536" t="s">
        <v>349</v>
      </c>
      <c r="D536" s="20">
        <v>8000</v>
      </c>
      <c r="E536" t="s">
        <v>413</v>
      </c>
      <c r="F536" t="s">
        <v>334</v>
      </c>
      <c r="G536" t="s">
        <v>89</v>
      </c>
      <c r="H536" t="s">
        <v>337</v>
      </c>
      <c r="I536">
        <v>11</v>
      </c>
      <c r="J536">
        <v>4</v>
      </c>
      <c r="K536" s="20">
        <v>8000</v>
      </c>
      <c r="L536" t="s">
        <v>268</v>
      </c>
      <c r="M536" t="s">
        <v>88</v>
      </c>
      <c r="N536" t="s">
        <v>26</v>
      </c>
    </row>
    <row r="537" spans="1:14" x14ac:dyDescent="0.3">
      <c r="A537" s="8">
        <v>45978</v>
      </c>
      <c r="B537" t="s">
        <v>256</v>
      </c>
      <c r="C537" t="s">
        <v>160</v>
      </c>
      <c r="D537" s="20">
        <v>4500</v>
      </c>
      <c r="E537" t="s">
        <v>363</v>
      </c>
      <c r="F537" t="s">
        <v>334</v>
      </c>
      <c r="G537" t="s">
        <v>25</v>
      </c>
      <c r="H537" t="s">
        <v>337</v>
      </c>
      <c r="I537">
        <v>11</v>
      </c>
      <c r="J537">
        <v>4</v>
      </c>
      <c r="K537" s="20">
        <v>4500</v>
      </c>
      <c r="L537" t="s">
        <v>268</v>
      </c>
      <c r="M537" t="s">
        <v>76</v>
      </c>
      <c r="N537" t="s">
        <v>26</v>
      </c>
    </row>
    <row r="538" spans="1:14" x14ac:dyDescent="0.3">
      <c r="A538" s="8">
        <v>45978</v>
      </c>
      <c r="B538" t="s">
        <v>256</v>
      </c>
      <c r="C538" t="s">
        <v>202</v>
      </c>
      <c r="D538" s="20">
        <v>1000</v>
      </c>
      <c r="E538" t="s">
        <v>403</v>
      </c>
      <c r="F538" t="s">
        <v>334</v>
      </c>
      <c r="G538" t="s">
        <v>25</v>
      </c>
      <c r="H538" t="s">
        <v>337</v>
      </c>
      <c r="I538">
        <v>11</v>
      </c>
      <c r="J538">
        <v>4</v>
      </c>
      <c r="K538" s="20">
        <v>1000</v>
      </c>
      <c r="L538" t="s">
        <v>268</v>
      </c>
      <c r="M538" t="s">
        <v>80</v>
      </c>
      <c r="N538" t="s">
        <v>26</v>
      </c>
    </row>
    <row r="539" spans="1:14" x14ac:dyDescent="0.3">
      <c r="A539" s="8">
        <v>45981</v>
      </c>
      <c r="B539" t="s">
        <v>256</v>
      </c>
      <c r="C539" t="s">
        <v>181</v>
      </c>
      <c r="D539" s="20">
        <v>1500</v>
      </c>
      <c r="E539" t="s">
        <v>382</v>
      </c>
      <c r="F539" t="s">
        <v>334</v>
      </c>
      <c r="G539" t="s">
        <v>25</v>
      </c>
      <c r="H539" t="s">
        <v>337</v>
      </c>
      <c r="I539">
        <v>11</v>
      </c>
      <c r="J539">
        <v>4</v>
      </c>
      <c r="K539" s="20">
        <v>1500</v>
      </c>
      <c r="L539" t="s">
        <v>268</v>
      </c>
      <c r="M539" t="s">
        <v>56</v>
      </c>
      <c r="N539" t="s">
        <v>26</v>
      </c>
    </row>
    <row r="540" spans="1:14" x14ac:dyDescent="0.3">
      <c r="A540" s="8">
        <v>45981</v>
      </c>
      <c r="B540" t="s">
        <v>256</v>
      </c>
      <c r="C540" t="s">
        <v>175</v>
      </c>
      <c r="D540" s="20">
        <v>2000</v>
      </c>
      <c r="E540" t="s">
        <v>372</v>
      </c>
      <c r="F540" t="s">
        <v>334</v>
      </c>
      <c r="G540" t="s">
        <v>25</v>
      </c>
      <c r="H540" t="s">
        <v>337</v>
      </c>
      <c r="I540">
        <v>11</v>
      </c>
      <c r="J540">
        <v>4</v>
      </c>
      <c r="K540" s="20">
        <v>2000</v>
      </c>
      <c r="L540" t="s">
        <v>268</v>
      </c>
      <c r="M540" t="s">
        <v>43</v>
      </c>
      <c r="N540" t="s">
        <v>26</v>
      </c>
    </row>
    <row r="541" spans="1:14" x14ac:dyDescent="0.3">
      <c r="A541" s="8">
        <v>45983</v>
      </c>
      <c r="B541" t="s">
        <v>256</v>
      </c>
      <c r="C541" t="s">
        <v>148</v>
      </c>
      <c r="D541" s="20">
        <v>9015</v>
      </c>
      <c r="E541" t="s">
        <v>324</v>
      </c>
      <c r="F541" t="s">
        <v>333</v>
      </c>
      <c r="G541" t="s">
        <v>139</v>
      </c>
      <c r="H541" t="s">
        <v>336</v>
      </c>
      <c r="I541">
        <v>11</v>
      </c>
      <c r="J541">
        <v>4</v>
      </c>
      <c r="K541" s="20">
        <v>-9015</v>
      </c>
      <c r="L541" t="s">
        <v>269</v>
      </c>
      <c r="M541" t="s">
        <v>322</v>
      </c>
      <c r="N541" t="s">
        <v>138</v>
      </c>
    </row>
    <row r="542" spans="1:14" x14ac:dyDescent="0.3">
      <c r="A542" s="8">
        <v>45986</v>
      </c>
      <c r="B542" t="s">
        <v>256</v>
      </c>
      <c r="C542" t="s">
        <v>260</v>
      </c>
      <c r="D542" s="20">
        <v>660</v>
      </c>
      <c r="E542" t="s">
        <v>272</v>
      </c>
      <c r="F542" t="s">
        <v>333</v>
      </c>
      <c r="G542" t="s">
        <v>136</v>
      </c>
      <c r="H542" t="s">
        <v>336</v>
      </c>
      <c r="I542">
        <v>11</v>
      </c>
      <c r="J542">
        <v>4</v>
      </c>
      <c r="K542" s="20">
        <v>-660</v>
      </c>
      <c r="L542" t="s">
        <v>269</v>
      </c>
      <c r="M542" t="s">
        <v>137</v>
      </c>
      <c r="N542" t="s">
        <v>135</v>
      </c>
    </row>
    <row r="543" spans="1:14" x14ac:dyDescent="0.3">
      <c r="A543" s="8">
        <v>45989</v>
      </c>
      <c r="B543" t="s">
        <v>256</v>
      </c>
      <c r="C543" t="s">
        <v>176</v>
      </c>
      <c r="D543" s="20">
        <v>6800</v>
      </c>
      <c r="E543" t="s">
        <v>375</v>
      </c>
      <c r="F543" t="s">
        <v>334</v>
      </c>
      <c r="G543" t="s">
        <v>25</v>
      </c>
      <c r="H543" t="s">
        <v>337</v>
      </c>
      <c r="I543">
        <v>11</v>
      </c>
      <c r="J543">
        <v>4</v>
      </c>
      <c r="K543" s="20">
        <v>6800</v>
      </c>
      <c r="L543" t="s">
        <v>268</v>
      </c>
      <c r="M543" t="s">
        <v>323</v>
      </c>
      <c r="N543" t="s">
        <v>26</v>
      </c>
    </row>
    <row r="544" spans="1:14" x14ac:dyDescent="0.3">
      <c r="A544" s="8">
        <v>45989</v>
      </c>
      <c r="B544" t="s">
        <v>256</v>
      </c>
      <c r="C544" t="s">
        <v>177</v>
      </c>
      <c r="D544" s="20">
        <v>10000</v>
      </c>
      <c r="E544" t="s">
        <v>373</v>
      </c>
      <c r="F544" t="s">
        <v>334</v>
      </c>
      <c r="G544" t="s">
        <v>139</v>
      </c>
      <c r="H544" t="s">
        <v>337</v>
      </c>
      <c r="I544">
        <v>11</v>
      </c>
      <c r="J544">
        <v>4</v>
      </c>
      <c r="K544" s="20">
        <v>10000</v>
      </c>
      <c r="L544" t="s">
        <v>268</v>
      </c>
      <c r="M544" t="s">
        <v>141</v>
      </c>
      <c r="N544" t="s">
        <v>26</v>
      </c>
    </row>
    <row r="545" spans="1:14" x14ac:dyDescent="0.3">
      <c r="A545" s="8">
        <v>45989</v>
      </c>
      <c r="B545" t="s">
        <v>256</v>
      </c>
      <c r="C545" t="s">
        <v>351</v>
      </c>
      <c r="D545" s="20">
        <v>160</v>
      </c>
      <c r="E545" t="s">
        <v>296</v>
      </c>
      <c r="F545" t="s">
        <v>333</v>
      </c>
      <c r="G545" t="s">
        <v>98</v>
      </c>
      <c r="H545" t="s">
        <v>336</v>
      </c>
      <c r="I545">
        <v>11</v>
      </c>
      <c r="J545">
        <v>4</v>
      </c>
      <c r="K545" s="20">
        <v>-160</v>
      </c>
      <c r="L545" t="s">
        <v>269</v>
      </c>
      <c r="M545" t="s">
        <v>99</v>
      </c>
      <c r="N545" t="s">
        <v>94</v>
      </c>
    </row>
    <row r="546" spans="1:14" x14ac:dyDescent="0.3">
      <c r="A546" s="8">
        <v>45989</v>
      </c>
      <c r="B546" t="s">
        <v>256</v>
      </c>
      <c r="C546" t="s">
        <v>24</v>
      </c>
      <c r="D546" s="20">
        <v>1956.51</v>
      </c>
      <c r="E546" t="s">
        <v>295</v>
      </c>
      <c r="F546" t="s">
        <v>333</v>
      </c>
      <c r="G546" t="s">
        <v>98</v>
      </c>
      <c r="H546" t="s">
        <v>336</v>
      </c>
      <c r="I546">
        <v>11</v>
      </c>
      <c r="J546">
        <v>4</v>
      </c>
      <c r="K546" s="20">
        <v>-1956.51</v>
      </c>
      <c r="L546" t="s">
        <v>269</v>
      </c>
      <c r="M546" t="s">
        <v>143</v>
      </c>
      <c r="N546" t="s">
        <v>94</v>
      </c>
    </row>
    <row r="547" spans="1:14" x14ac:dyDescent="0.3">
      <c r="A547" s="8">
        <v>45989</v>
      </c>
      <c r="B547" t="s">
        <v>256</v>
      </c>
      <c r="C547" t="s">
        <v>342</v>
      </c>
      <c r="D547" s="20">
        <v>8505</v>
      </c>
      <c r="E547" t="s">
        <v>273</v>
      </c>
      <c r="F547" t="s">
        <v>333</v>
      </c>
      <c r="G547" t="s">
        <v>98</v>
      </c>
      <c r="H547" t="s">
        <v>336</v>
      </c>
      <c r="I547">
        <v>11</v>
      </c>
      <c r="J547">
        <v>4</v>
      </c>
      <c r="K547" s="20">
        <v>-8505</v>
      </c>
      <c r="L547" t="s">
        <v>269</v>
      </c>
      <c r="M547" t="s">
        <v>116</v>
      </c>
      <c r="N547" t="s">
        <v>94</v>
      </c>
    </row>
    <row r="548" spans="1:14" x14ac:dyDescent="0.3">
      <c r="A548" s="8">
        <v>45989</v>
      </c>
      <c r="B548" t="s">
        <v>256</v>
      </c>
      <c r="C548" t="s">
        <v>202</v>
      </c>
      <c r="D548" s="20">
        <v>1000</v>
      </c>
      <c r="E548" t="s">
        <v>403</v>
      </c>
      <c r="F548" t="s">
        <v>334</v>
      </c>
      <c r="G548" t="s">
        <v>25</v>
      </c>
      <c r="H548" t="s">
        <v>337</v>
      </c>
      <c r="I548">
        <v>11</v>
      </c>
      <c r="J548">
        <v>4</v>
      </c>
      <c r="K548" s="20">
        <v>1000</v>
      </c>
      <c r="L548" t="s">
        <v>268</v>
      </c>
      <c r="M548" t="s">
        <v>80</v>
      </c>
      <c r="N548" t="s">
        <v>26</v>
      </c>
    </row>
    <row r="549" spans="1:14" x14ac:dyDescent="0.3">
      <c r="A549" s="8">
        <v>45991</v>
      </c>
      <c r="B549" t="s">
        <v>256</v>
      </c>
      <c r="C549" t="s">
        <v>361</v>
      </c>
      <c r="D549" s="20">
        <v>2500</v>
      </c>
      <c r="E549" t="s">
        <v>306</v>
      </c>
      <c r="F549" t="s">
        <v>333</v>
      </c>
      <c r="G549" t="s">
        <v>124</v>
      </c>
      <c r="H549" t="s">
        <v>336</v>
      </c>
      <c r="I549">
        <v>11</v>
      </c>
      <c r="J549">
        <v>4</v>
      </c>
      <c r="K549" s="20">
        <v>-2500</v>
      </c>
      <c r="L549" t="s">
        <v>269</v>
      </c>
      <c r="M549" t="s">
        <v>125</v>
      </c>
      <c r="N549" t="s">
        <v>103</v>
      </c>
    </row>
    <row r="550" spans="1:14" x14ac:dyDescent="0.3">
      <c r="A550" s="8">
        <v>45991</v>
      </c>
      <c r="B550" t="s">
        <v>256</v>
      </c>
      <c r="C550" t="s">
        <v>172</v>
      </c>
      <c r="D550" s="20">
        <v>3600</v>
      </c>
      <c r="E550" t="s">
        <v>370</v>
      </c>
      <c r="F550" t="s">
        <v>334</v>
      </c>
      <c r="G550" t="s">
        <v>25</v>
      </c>
      <c r="H550" t="s">
        <v>337</v>
      </c>
      <c r="I550">
        <v>11</v>
      </c>
      <c r="J550">
        <v>4</v>
      </c>
      <c r="K550" s="20">
        <v>3600</v>
      </c>
      <c r="L550" t="s">
        <v>268</v>
      </c>
      <c r="M550" t="s">
        <v>58</v>
      </c>
      <c r="N550" t="s">
        <v>26</v>
      </c>
    </row>
    <row r="551" spans="1:14" x14ac:dyDescent="0.3">
      <c r="A551" s="8">
        <v>45991</v>
      </c>
      <c r="B551" t="s">
        <v>256</v>
      </c>
      <c r="C551" t="s">
        <v>345</v>
      </c>
      <c r="D551" s="20">
        <v>9000</v>
      </c>
      <c r="E551" t="s">
        <v>385</v>
      </c>
      <c r="F551" t="s">
        <v>334</v>
      </c>
      <c r="G551" t="s">
        <v>25</v>
      </c>
      <c r="H551" t="s">
        <v>337</v>
      </c>
      <c r="I551">
        <v>11</v>
      </c>
      <c r="J551">
        <v>4</v>
      </c>
      <c r="K551" s="20">
        <v>9000</v>
      </c>
      <c r="L551" t="s">
        <v>268</v>
      </c>
      <c r="M551" t="s">
        <v>54</v>
      </c>
      <c r="N551" t="s">
        <v>26</v>
      </c>
    </row>
    <row r="552" spans="1:14" x14ac:dyDescent="0.3">
      <c r="A552" s="8">
        <v>45991</v>
      </c>
      <c r="B552" t="s">
        <v>256</v>
      </c>
      <c r="C552" t="s">
        <v>251</v>
      </c>
      <c r="D552" s="20">
        <v>2400</v>
      </c>
      <c r="E552" t="s">
        <v>428</v>
      </c>
      <c r="F552" t="s">
        <v>334</v>
      </c>
      <c r="G552" t="s">
        <v>25</v>
      </c>
      <c r="H552" t="s">
        <v>337</v>
      </c>
      <c r="I552">
        <v>11</v>
      </c>
      <c r="J552">
        <v>4</v>
      </c>
      <c r="K552" s="20">
        <v>2400</v>
      </c>
      <c r="L552" t="s">
        <v>268</v>
      </c>
      <c r="M552" t="s">
        <v>30</v>
      </c>
      <c r="N552" t="s">
        <v>26</v>
      </c>
    </row>
    <row r="553" spans="1:14" x14ac:dyDescent="0.3">
      <c r="A553" s="8">
        <v>45991</v>
      </c>
      <c r="B553" t="s">
        <v>256</v>
      </c>
      <c r="C553" t="s">
        <v>261</v>
      </c>
      <c r="D553" s="20">
        <v>2500</v>
      </c>
      <c r="E553" t="s">
        <v>272</v>
      </c>
      <c r="F553" t="s">
        <v>333</v>
      </c>
      <c r="G553" t="s">
        <v>136</v>
      </c>
      <c r="H553" t="s">
        <v>336</v>
      </c>
      <c r="I553">
        <v>11</v>
      </c>
      <c r="J553">
        <v>4</v>
      </c>
      <c r="K553" s="20">
        <v>-2500</v>
      </c>
      <c r="L553" t="s">
        <v>269</v>
      </c>
      <c r="M553" t="s">
        <v>137</v>
      </c>
      <c r="N553" t="s">
        <v>135</v>
      </c>
    </row>
    <row r="554" spans="1:14" x14ac:dyDescent="0.3">
      <c r="A554" s="8">
        <v>45991</v>
      </c>
      <c r="B554" t="s">
        <v>256</v>
      </c>
      <c r="C554" t="s">
        <v>164</v>
      </c>
      <c r="D554" s="20">
        <v>5000</v>
      </c>
      <c r="E554" t="s">
        <v>327</v>
      </c>
      <c r="F554" t="s">
        <v>333</v>
      </c>
      <c r="G554" t="s">
        <v>25</v>
      </c>
      <c r="H554" t="s">
        <v>336</v>
      </c>
      <c r="I554">
        <v>11</v>
      </c>
      <c r="J554">
        <v>4</v>
      </c>
      <c r="K554" s="20">
        <v>-5000</v>
      </c>
      <c r="L554" t="s">
        <v>269</v>
      </c>
      <c r="M554" t="s">
        <v>321</v>
      </c>
      <c r="N554" t="s">
        <v>26</v>
      </c>
    </row>
    <row r="555" spans="1:14" x14ac:dyDescent="0.3">
      <c r="A555" s="8">
        <v>45991</v>
      </c>
      <c r="B555" t="s">
        <v>256</v>
      </c>
      <c r="C555" t="s">
        <v>348</v>
      </c>
      <c r="D555" s="20">
        <v>1012</v>
      </c>
      <c r="E555" t="s">
        <v>290</v>
      </c>
      <c r="F555" t="s">
        <v>333</v>
      </c>
      <c r="G555" t="s">
        <v>108</v>
      </c>
      <c r="H555" t="s">
        <v>336</v>
      </c>
      <c r="I555">
        <v>11</v>
      </c>
      <c r="J555">
        <v>4</v>
      </c>
      <c r="K555" s="20">
        <v>-1012</v>
      </c>
      <c r="L555" t="s">
        <v>269</v>
      </c>
      <c r="M555" t="s">
        <v>111</v>
      </c>
      <c r="N555" t="s">
        <v>335</v>
      </c>
    </row>
    <row r="556" spans="1:14" x14ac:dyDescent="0.3">
      <c r="A556" s="8">
        <v>45991</v>
      </c>
      <c r="B556" t="s">
        <v>256</v>
      </c>
      <c r="C556" t="s">
        <v>353</v>
      </c>
      <c r="D556" s="20">
        <v>15000</v>
      </c>
      <c r="E556" t="s">
        <v>300</v>
      </c>
      <c r="F556" t="s">
        <v>333</v>
      </c>
      <c r="G556" t="s">
        <v>130</v>
      </c>
      <c r="H556" t="s">
        <v>336</v>
      </c>
      <c r="I556">
        <v>11</v>
      </c>
      <c r="J556">
        <v>4</v>
      </c>
      <c r="K556" s="20">
        <v>-15000</v>
      </c>
      <c r="L556" t="s">
        <v>269</v>
      </c>
      <c r="M556" t="s">
        <v>131</v>
      </c>
      <c r="N556" t="s">
        <v>103</v>
      </c>
    </row>
    <row r="557" spans="1:14" x14ac:dyDescent="0.3">
      <c r="A557" s="8">
        <v>45991</v>
      </c>
      <c r="B557" t="s">
        <v>256</v>
      </c>
      <c r="C557" t="s">
        <v>354</v>
      </c>
      <c r="D557" s="20">
        <v>10000</v>
      </c>
      <c r="E557" t="s">
        <v>390</v>
      </c>
      <c r="F557" t="s">
        <v>334</v>
      </c>
      <c r="G557" t="s">
        <v>9</v>
      </c>
      <c r="H557" t="s">
        <v>337</v>
      </c>
      <c r="I557">
        <v>11</v>
      </c>
      <c r="J557">
        <v>4</v>
      </c>
      <c r="K557" s="20">
        <v>10000</v>
      </c>
      <c r="L557" t="s">
        <v>268</v>
      </c>
      <c r="M557" t="s">
        <v>127</v>
      </c>
      <c r="N557" t="s">
        <v>126</v>
      </c>
    </row>
    <row r="558" spans="1:14" x14ac:dyDescent="0.3">
      <c r="A558" s="8">
        <v>45991</v>
      </c>
      <c r="B558" t="s">
        <v>256</v>
      </c>
      <c r="C558" t="s">
        <v>355</v>
      </c>
      <c r="D558" s="20">
        <v>6000</v>
      </c>
      <c r="E558" t="s">
        <v>389</v>
      </c>
      <c r="F558" t="s">
        <v>334</v>
      </c>
      <c r="G558" t="s">
        <v>9</v>
      </c>
      <c r="H558" t="s">
        <v>337</v>
      </c>
      <c r="I558">
        <v>11</v>
      </c>
      <c r="J558">
        <v>4</v>
      </c>
      <c r="K558" s="20">
        <v>6000</v>
      </c>
      <c r="L558" t="s">
        <v>268</v>
      </c>
      <c r="M558" t="s">
        <v>128</v>
      </c>
      <c r="N558" t="s">
        <v>126</v>
      </c>
    </row>
    <row r="559" spans="1:14" x14ac:dyDescent="0.3">
      <c r="A559" s="8">
        <v>45991</v>
      </c>
      <c r="B559" t="s">
        <v>256</v>
      </c>
      <c r="C559" t="s">
        <v>356</v>
      </c>
      <c r="D559" s="20">
        <v>15000</v>
      </c>
      <c r="E559" t="s">
        <v>301</v>
      </c>
      <c r="F559" t="s">
        <v>333</v>
      </c>
      <c r="G559" t="s">
        <v>133</v>
      </c>
      <c r="H559" t="s">
        <v>336</v>
      </c>
      <c r="I559">
        <v>11</v>
      </c>
      <c r="J559">
        <v>4</v>
      </c>
      <c r="K559" s="20">
        <v>-15000</v>
      </c>
      <c r="L559" t="s">
        <v>269</v>
      </c>
      <c r="M559" t="s">
        <v>134</v>
      </c>
      <c r="N559" t="s">
        <v>132</v>
      </c>
    </row>
    <row r="560" spans="1:14" x14ac:dyDescent="0.3">
      <c r="A560" s="8">
        <v>45991</v>
      </c>
      <c r="B560" t="s">
        <v>256</v>
      </c>
      <c r="C560" t="s">
        <v>357</v>
      </c>
      <c r="D560" s="20">
        <v>17233.88</v>
      </c>
      <c r="E560" t="s">
        <v>302</v>
      </c>
      <c r="F560" t="s">
        <v>333</v>
      </c>
      <c r="G560" t="s">
        <v>117</v>
      </c>
      <c r="H560" t="s">
        <v>336</v>
      </c>
      <c r="I560">
        <v>11</v>
      </c>
      <c r="J560">
        <v>4</v>
      </c>
      <c r="K560" s="20">
        <v>-17233.88</v>
      </c>
      <c r="L560" t="s">
        <v>269</v>
      </c>
      <c r="M560" t="s">
        <v>118</v>
      </c>
      <c r="N560" t="s">
        <v>103</v>
      </c>
    </row>
    <row r="561" spans="1:14" x14ac:dyDescent="0.3">
      <c r="A561" s="8">
        <v>45991</v>
      </c>
      <c r="B561" t="s">
        <v>256</v>
      </c>
      <c r="C561" t="s">
        <v>172</v>
      </c>
      <c r="D561" s="20">
        <v>18000</v>
      </c>
      <c r="E561" t="s">
        <v>294</v>
      </c>
      <c r="F561" t="s">
        <v>333</v>
      </c>
      <c r="G561" t="s">
        <v>25</v>
      </c>
      <c r="H561" t="s">
        <v>336</v>
      </c>
      <c r="I561">
        <v>11</v>
      </c>
      <c r="J561">
        <v>4</v>
      </c>
      <c r="K561" s="20">
        <v>-18000</v>
      </c>
      <c r="L561" t="s">
        <v>269</v>
      </c>
      <c r="M561" t="s">
        <v>58</v>
      </c>
      <c r="N561" t="s">
        <v>26</v>
      </c>
    </row>
    <row r="562" spans="1:14" x14ac:dyDescent="0.3">
      <c r="A562" s="8">
        <v>45991</v>
      </c>
      <c r="B562" t="s">
        <v>256</v>
      </c>
      <c r="C562" t="s">
        <v>360</v>
      </c>
      <c r="D562" s="20">
        <v>1500</v>
      </c>
      <c r="E562" t="s">
        <v>305</v>
      </c>
      <c r="F562" t="s">
        <v>333</v>
      </c>
      <c r="G562" t="s">
        <v>11</v>
      </c>
      <c r="H562" t="s">
        <v>336</v>
      </c>
      <c r="I562">
        <v>11</v>
      </c>
      <c r="J562">
        <v>4</v>
      </c>
      <c r="K562" s="20">
        <v>-1500</v>
      </c>
      <c r="L562" t="s">
        <v>269</v>
      </c>
      <c r="M562" t="s">
        <v>115</v>
      </c>
      <c r="N562" t="s">
        <v>103</v>
      </c>
    </row>
    <row r="563" spans="1:14" x14ac:dyDescent="0.3">
      <c r="A563" s="8">
        <v>45992</v>
      </c>
      <c r="B563" t="s">
        <v>262</v>
      </c>
      <c r="C563" t="s">
        <v>348</v>
      </c>
      <c r="D563" s="20">
        <v>212</v>
      </c>
      <c r="E563" t="s">
        <v>290</v>
      </c>
      <c r="F563" t="s">
        <v>333</v>
      </c>
      <c r="G563" t="s">
        <v>108</v>
      </c>
      <c r="H563" t="s">
        <v>336</v>
      </c>
      <c r="I563">
        <v>12</v>
      </c>
      <c r="J563">
        <v>4</v>
      </c>
      <c r="K563" s="20">
        <v>-212</v>
      </c>
      <c r="L563" t="s">
        <v>269</v>
      </c>
      <c r="M563" t="s">
        <v>111</v>
      </c>
      <c r="N563" t="s">
        <v>335</v>
      </c>
    </row>
    <row r="564" spans="1:14" x14ac:dyDescent="0.3">
      <c r="A564" s="8">
        <v>45992</v>
      </c>
      <c r="B564" t="s">
        <v>262</v>
      </c>
      <c r="C564" t="s">
        <v>195</v>
      </c>
      <c r="D564" s="20">
        <v>181</v>
      </c>
      <c r="E564" t="s">
        <v>328</v>
      </c>
      <c r="F564" t="s">
        <v>333</v>
      </c>
      <c r="G564" t="s">
        <v>319</v>
      </c>
      <c r="H564" t="s">
        <v>336</v>
      </c>
      <c r="I564">
        <v>12</v>
      </c>
      <c r="J564">
        <v>4</v>
      </c>
      <c r="K564" s="20">
        <v>-181</v>
      </c>
      <c r="L564" t="s">
        <v>269</v>
      </c>
      <c r="M564" t="s">
        <v>315</v>
      </c>
      <c r="N564" t="s">
        <v>90</v>
      </c>
    </row>
    <row r="565" spans="1:14" x14ac:dyDescent="0.3">
      <c r="A565" s="8">
        <v>45992</v>
      </c>
      <c r="B565" t="s">
        <v>262</v>
      </c>
      <c r="C565" t="s">
        <v>148</v>
      </c>
      <c r="D565" s="20">
        <v>11015</v>
      </c>
      <c r="E565" t="s">
        <v>324</v>
      </c>
      <c r="F565" t="s">
        <v>333</v>
      </c>
      <c r="G565" t="s">
        <v>139</v>
      </c>
      <c r="H565" t="s">
        <v>336</v>
      </c>
      <c r="I565">
        <v>12</v>
      </c>
      <c r="J565">
        <v>4</v>
      </c>
      <c r="K565" s="20">
        <v>-11015</v>
      </c>
      <c r="L565" t="s">
        <v>269</v>
      </c>
      <c r="M565" t="s">
        <v>322</v>
      </c>
      <c r="N565" t="s">
        <v>138</v>
      </c>
    </row>
    <row r="566" spans="1:14" x14ac:dyDescent="0.3">
      <c r="A566" s="8">
        <v>45993</v>
      </c>
      <c r="B566" t="s">
        <v>262</v>
      </c>
      <c r="C566" t="s">
        <v>263</v>
      </c>
      <c r="D566" s="20">
        <v>11</v>
      </c>
      <c r="E566" t="s">
        <v>297</v>
      </c>
      <c r="F566" t="s">
        <v>333</v>
      </c>
      <c r="G566" t="s">
        <v>25</v>
      </c>
      <c r="H566" t="s">
        <v>336</v>
      </c>
      <c r="I566">
        <v>12</v>
      </c>
      <c r="J566">
        <v>4</v>
      </c>
      <c r="K566" s="20">
        <v>-11</v>
      </c>
      <c r="L566" t="s">
        <v>269</v>
      </c>
      <c r="M566" t="s">
        <v>66</v>
      </c>
      <c r="N566" t="s">
        <v>26</v>
      </c>
    </row>
    <row r="567" spans="1:14" x14ac:dyDescent="0.3">
      <c r="A567" s="8">
        <v>45995</v>
      </c>
      <c r="B567" t="s">
        <v>262</v>
      </c>
      <c r="C567" t="s">
        <v>265</v>
      </c>
      <c r="D567" s="20">
        <v>1990</v>
      </c>
      <c r="E567" t="s">
        <v>430</v>
      </c>
      <c r="F567" t="s">
        <v>334</v>
      </c>
      <c r="G567" t="s">
        <v>25</v>
      </c>
      <c r="H567" t="s">
        <v>337</v>
      </c>
      <c r="I567">
        <v>12</v>
      </c>
      <c r="J567">
        <v>4</v>
      </c>
      <c r="K567" s="20">
        <v>1990</v>
      </c>
      <c r="L567" t="s">
        <v>268</v>
      </c>
      <c r="M567" t="s">
        <v>65</v>
      </c>
      <c r="N567" t="s">
        <v>26</v>
      </c>
    </row>
    <row r="568" spans="1:14" x14ac:dyDescent="0.3">
      <c r="A568" s="8">
        <v>45995</v>
      </c>
      <c r="B568" t="s">
        <v>262</v>
      </c>
      <c r="C568" t="s">
        <v>175</v>
      </c>
      <c r="D568" s="20">
        <v>3000</v>
      </c>
      <c r="E568" t="s">
        <v>372</v>
      </c>
      <c r="F568" t="s">
        <v>334</v>
      </c>
      <c r="G568" t="s">
        <v>25</v>
      </c>
      <c r="H568" t="s">
        <v>337</v>
      </c>
      <c r="I568">
        <v>12</v>
      </c>
      <c r="J568">
        <v>4</v>
      </c>
      <c r="K568" s="20">
        <v>3000</v>
      </c>
      <c r="L568" t="s">
        <v>268</v>
      </c>
      <c r="M568" t="s">
        <v>43</v>
      </c>
      <c r="N568" t="s">
        <v>26</v>
      </c>
    </row>
    <row r="569" spans="1:14" x14ac:dyDescent="0.3">
      <c r="A569" s="8">
        <v>45996</v>
      </c>
      <c r="B569" t="s">
        <v>262</v>
      </c>
      <c r="C569" t="s">
        <v>181</v>
      </c>
      <c r="D569" s="20">
        <v>2500</v>
      </c>
      <c r="E569" t="s">
        <v>382</v>
      </c>
      <c r="F569" t="s">
        <v>334</v>
      </c>
      <c r="G569" t="s">
        <v>25</v>
      </c>
      <c r="H569" t="s">
        <v>337</v>
      </c>
      <c r="I569">
        <v>12</v>
      </c>
      <c r="J569">
        <v>4</v>
      </c>
      <c r="K569" s="20">
        <v>2500</v>
      </c>
      <c r="L569" t="s">
        <v>268</v>
      </c>
      <c r="M569" t="s">
        <v>56</v>
      </c>
      <c r="N569" t="s">
        <v>26</v>
      </c>
    </row>
    <row r="570" spans="1:14" x14ac:dyDescent="0.3">
      <c r="A570" s="8">
        <v>45996</v>
      </c>
      <c r="B570" t="s">
        <v>262</v>
      </c>
      <c r="C570" t="s">
        <v>217</v>
      </c>
      <c r="D570" s="20">
        <v>2000</v>
      </c>
      <c r="E570" t="s">
        <v>419</v>
      </c>
      <c r="F570" t="s">
        <v>334</v>
      </c>
      <c r="G570" t="s">
        <v>25</v>
      </c>
      <c r="H570" t="s">
        <v>337</v>
      </c>
      <c r="I570">
        <v>12</v>
      </c>
      <c r="J570">
        <v>4</v>
      </c>
      <c r="K570" s="20">
        <v>2000</v>
      </c>
      <c r="L570" t="s">
        <v>268</v>
      </c>
      <c r="M570" t="s">
        <v>36</v>
      </c>
      <c r="N570" t="s">
        <v>26</v>
      </c>
    </row>
    <row r="571" spans="1:14" x14ac:dyDescent="0.3">
      <c r="A571" s="8">
        <v>45998</v>
      </c>
      <c r="B571" t="s">
        <v>262</v>
      </c>
      <c r="C571" t="s">
        <v>167</v>
      </c>
      <c r="D571" s="20">
        <v>1800</v>
      </c>
      <c r="E571" t="s">
        <v>365</v>
      </c>
      <c r="F571" t="s">
        <v>334</v>
      </c>
      <c r="G571" t="s">
        <v>25</v>
      </c>
      <c r="H571" t="s">
        <v>337</v>
      </c>
      <c r="I571">
        <v>12</v>
      </c>
      <c r="J571">
        <v>4</v>
      </c>
      <c r="K571" s="20">
        <v>1800</v>
      </c>
      <c r="L571" t="s">
        <v>268</v>
      </c>
      <c r="M571" t="s">
        <v>49</v>
      </c>
      <c r="N571" t="s">
        <v>26</v>
      </c>
    </row>
    <row r="572" spans="1:14" x14ac:dyDescent="0.3">
      <c r="A572" s="8">
        <v>46002</v>
      </c>
      <c r="B572" t="s">
        <v>262</v>
      </c>
      <c r="C572" t="s">
        <v>202</v>
      </c>
      <c r="D572" s="20">
        <v>1000</v>
      </c>
      <c r="E572" t="s">
        <v>403</v>
      </c>
      <c r="F572" t="s">
        <v>334</v>
      </c>
      <c r="G572" t="s">
        <v>25</v>
      </c>
      <c r="H572" t="s">
        <v>337</v>
      </c>
      <c r="I572">
        <v>12</v>
      </c>
      <c r="J572">
        <v>4</v>
      </c>
      <c r="K572" s="20">
        <v>1000</v>
      </c>
      <c r="L572" t="s">
        <v>268</v>
      </c>
      <c r="M572" t="s">
        <v>80</v>
      </c>
      <c r="N572" t="s">
        <v>26</v>
      </c>
    </row>
    <row r="573" spans="1:14" x14ac:dyDescent="0.3">
      <c r="A573" s="8">
        <v>46002</v>
      </c>
      <c r="B573" t="s">
        <v>262</v>
      </c>
      <c r="C573" t="s">
        <v>343</v>
      </c>
      <c r="D573" s="20">
        <v>5259.37</v>
      </c>
      <c r="E573" t="s">
        <v>312</v>
      </c>
      <c r="F573" t="s">
        <v>333</v>
      </c>
      <c r="G573" t="s">
        <v>122</v>
      </c>
      <c r="H573" t="s">
        <v>336</v>
      </c>
      <c r="I573">
        <v>12</v>
      </c>
      <c r="J573">
        <v>4</v>
      </c>
      <c r="K573" s="20">
        <v>-5259.37</v>
      </c>
      <c r="L573" t="s">
        <v>269</v>
      </c>
      <c r="M573" t="s">
        <v>311</v>
      </c>
      <c r="N573" t="s">
        <v>121</v>
      </c>
    </row>
    <row r="574" spans="1:14" x14ac:dyDescent="0.3">
      <c r="A574" s="8">
        <v>46002</v>
      </c>
      <c r="B574" t="s">
        <v>262</v>
      </c>
      <c r="C574" t="s">
        <v>350</v>
      </c>
      <c r="D574" s="20">
        <v>239</v>
      </c>
      <c r="E574" t="s">
        <v>292</v>
      </c>
      <c r="F574" t="s">
        <v>333</v>
      </c>
      <c r="G574" t="s">
        <v>313</v>
      </c>
      <c r="H574" t="s">
        <v>336</v>
      </c>
      <c r="I574">
        <v>12</v>
      </c>
      <c r="J574">
        <v>4</v>
      </c>
      <c r="K574" s="20">
        <v>-239</v>
      </c>
      <c r="L574" t="s">
        <v>269</v>
      </c>
      <c r="M574" t="s">
        <v>113</v>
      </c>
      <c r="N574" t="s">
        <v>103</v>
      </c>
    </row>
    <row r="575" spans="1:14" x14ac:dyDescent="0.3">
      <c r="A575" s="8">
        <v>46003</v>
      </c>
      <c r="B575" t="s">
        <v>262</v>
      </c>
      <c r="C575" t="s">
        <v>172</v>
      </c>
      <c r="D575" s="20">
        <v>3600</v>
      </c>
      <c r="E575" t="s">
        <v>370</v>
      </c>
      <c r="F575" t="s">
        <v>334</v>
      </c>
      <c r="G575" t="s">
        <v>25</v>
      </c>
      <c r="H575" t="s">
        <v>337</v>
      </c>
      <c r="I575">
        <v>12</v>
      </c>
      <c r="J575">
        <v>4</v>
      </c>
      <c r="K575" s="20">
        <v>3600</v>
      </c>
      <c r="L575" t="s">
        <v>268</v>
      </c>
      <c r="M575" t="s">
        <v>58</v>
      </c>
      <c r="N575" t="s">
        <v>26</v>
      </c>
    </row>
    <row r="576" spans="1:14" x14ac:dyDescent="0.3">
      <c r="A576" s="8">
        <v>46005</v>
      </c>
      <c r="B576" t="s">
        <v>262</v>
      </c>
      <c r="C576" t="s">
        <v>352</v>
      </c>
      <c r="D576" s="20">
        <v>3270</v>
      </c>
      <c r="E576" t="s">
        <v>298</v>
      </c>
      <c r="F576" t="s">
        <v>333</v>
      </c>
      <c r="G576" t="s">
        <v>105</v>
      </c>
      <c r="H576" t="s">
        <v>336</v>
      </c>
      <c r="I576">
        <v>12</v>
      </c>
      <c r="J576">
        <v>4</v>
      </c>
      <c r="K576" s="20">
        <v>-3270</v>
      </c>
      <c r="L576" t="s">
        <v>269</v>
      </c>
      <c r="M576" t="s">
        <v>106</v>
      </c>
      <c r="N576" t="s">
        <v>335</v>
      </c>
    </row>
    <row r="577" spans="1:14" x14ac:dyDescent="0.3">
      <c r="A577" s="8">
        <v>46006</v>
      </c>
      <c r="B577" t="s">
        <v>262</v>
      </c>
      <c r="C577" t="s">
        <v>217</v>
      </c>
      <c r="D577" s="20">
        <v>2000</v>
      </c>
      <c r="E577" t="s">
        <v>419</v>
      </c>
      <c r="F577" t="s">
        <v>334</v>
      </c>
      <c r="G577" t="s">
        <v>25</v>
      </c>
      <c r="H577" t="s">
        <v>337</v>
      </c>
      <c r="I577">
        <v>12</v>
      </c>
      <c r="J577">
        <v>4</v>
      </c>
      <c r="K577" s="20">
        <v>2000</v>
      </c>
      <c r="L577" t="s">
        <v>268</v>
      </c>
      <c r="M577" t="s">
        <v>36</v>
      </c>
      <c r="N577" t="s">
        <v>26</v>
      </c>
    </row>
    <row r="578" spans="1:14" x14ac:dyDescent="0.3">
      <c r="A578" s="8">
        <v>46006</v>
      </c>
      <c r="B578" t="s">
        <v>262</v>
      </c>
      <c r="C578" t="s">
        <v>167</v>
      </c>
      <c r="D578" s="20">
        <v>3600</v>
      </c>
      <c r="E578" t="s">
        <v>365</v>
      </c>
      <c r="F578" t="s">
        <v>334</v>
      </c>
      <c r="G578" t="s">
        <v>25</v>
      </c>
      <c r="H578" t="s">
        <v>337</v>
      </c>
      <c r="I578">
        <v>12</v>
      </c>
      <c r="J578">
        <v>4</v>
      </c>
      <c r="K578" s="20">
        <v>3600</v>
      </c>
      <c r="L578" t="s">
        <v>268</v>
      </c>
      <c r="M578" t="s">
        <v>49</v>
      </c>
      <c r="N578" t="s">
        <v>26</v>
      </c>
    </row>
    <row r="579" spans="1:14" x14ac:dyDescent="0.3">
      <c r="A579" s="8">
        <v>46007</v>
      </c>
      <c r="B579" t="s">
        <v>262</v>
      </c>
      <c r="C579" t="s">
        <v>148</v>
      </c>
      <c r="D579" s="20">
        <v>16015</v>
      </c>
      <c r="E579" t="s">
        <v>324</v>
      </c>
      <c r="F579" t="s">
        <v>333</v>
      </c>
      <c r="G579" t="s">
        <v>139</v>
      </c>
      <c r="H579" t="s">
        <v>336</v>
      </c>
      <c r="I579">
        <v>12</v>
      </c>
      <c r="J579">
        <v>4</v>
      </c>
      <c r="K579" s="20">
        <v>-16015</v>
      </c>
      <c r="L579" t="s">
        <v>269</v>
      </c>
      <c r="M579" t="s">
        <v>322</v>
      </c>
      <c r="N579" t="s">
        <v>138</v>
      </c>
    </row>
    <row r="580" spans="1:14" x14ac:dyDescent="0.3">
      <c r="A580" s="8">
        <v>46007</v>
      </c>
      <c r="B580" t="s">
        <v>262</v>
      </c>
      <c r="C580" t="s">
        <v>177</v>
      </c>
      <c r="D580" s="20">
        <v>7000</v>
      </c>
      <c r="E580" t="s">
        <v>373</v>
      </c>
      <c r="F580" t="s">
        <v>334</v>
      </c>
      <c r="G580" t="s">
        <v>139</v>
      </c>
      <c r="H580" t="s">
        <v>337</v>
      </c>
      <c r="I580">
        <v>12</v>
      </c>
      <c r="J580">
        <v>4</v>
      </c>
      <c r="K580" s="20">
        <v>7000</v>
      </c>
      <c r="L580" t="s">
        <v>268</v>
      </c>
      <c r="M580" t="s">
        <v>141</v>
      </c>
      <c r="N580" t="s">
        <v>26</v>
      </c>
    </row>
    <row r="581" spans="1:14" x14ac:dyDescent="0.3">
      <c r="A581" s="8">
        <v>46007</v>
      </c>
      <c r="B581" t="s">
        <v>262</v>
      </c>
      <c r="C581" t="s">
        <v>202</v>
      </c>
      <c r="D581" s="20">
        <v>800</v>
      </c>
      <c r="E581" t="s">
        <v>403</v>
      </c>
      <c r="F581" t="s">
        <v>334</v>
      </c>
      <c r="G581" t="s">
        <v>25</v>
      </c>
      <c r="H581" t="s">
        <v>337</v>
      </c>
      <c r="I581">
        <v>12</v>
      </c>
      <c r="J581">
        <v>4</v>
      </c>
      <c r="K581" s="20">
        <v>800</v>
      </c>
      <c r="L581" t="s">
        <v>268</v>
      </c>
      <c r="M581" t="s">
        <v>80</v>
      </c>
      <c r="N581" t="s">
        <v>26</v>
      </c>
    </row>
    <row r="582" spans="1:14" x14ac:dyDescent="0.3">
      <c r="A582" s="8">
        <v>46010</v>
      </c>
      <c r="B582" t="s">
        <v>262</v>
      </c>
      <c r="C582" t="s">
        <v>164</v>
      </c>
      <c r="D582" s="20">
        <v>3000</v>
      </c>
      <c r="E582" t="s">
        <v>379</v>
      </c>
      <c r="F582" t="s">
        <v>334</v>
      </c>
      <c r="G582" t="s">
        <v>25</v>
      </c>
      <c r="H582" t="s">
        <v>337</v>
      </c>
      <c r="I582">
        <v>12</v>
      </c>
      <c r="J582">
        <v>4</v>
      </c>
      <c r="K582" s="20">
        <v>3000</v>
      </c>
      <c r="L582" t="s">
        <v>268</v>
      </c>
      <c r="M582" t="s">
        <v>321</v>
      </c>
      <c r="N582" t="s">
        <v>26</v>
      </c>
    </row>
    <row r="583" spans="1:14" x14ac:dyDescent="0.3">
      <c r="A583" s="8">
        <v>46010</v>
      </c>
      <c r="B583" t="s">
        <v>262</v>
      </c>
      <c r="C583" t="s">
        <v>195</v>
      </c>
      <c r="D583" s="20">
        <v>181</v>
      </c>
      <c r="E583" t="s">
        <v>328</v>
      </c>
      <c r="F583" t="s">
        <v>333</v>
      </c>
      <c r="G583" t="s">
        <v>319</v>
      </c>
      <c r="H583" t="s">
        <v>336</v>
      </c>
      <c r="I583">
        <v>12</v>
      </c>
      <c r="J583">
        <v>4</v>
      </c>
      <c r="K583" s="20">
        <v>-181</v>
      </c>
      <c r="L583" t="s">
        <v>269</v>
      </c>
      <c r="M583" t="s">
        <v>315</v>
      </c>
      <c r="N583" t="s">
        <v>90</v>
      </c>
    </row>
    <row r="584" spans="1:14" x14ac:dyDescent="0.3">
      <c r="A584" s="8">
        <v>46011</v>
      </c>
      <c r="B584" t="s">
        <v>262</v>
      </c>
      <c r="C584" t="s">
        <v>264</v>
      </c>
      <c r="D584" s="20">
        <v>1080</v>
      </c>
      <c r="E584" t="s">
        <v>299</v>
      </c>
      <c r="F584" t="s">
        <v>333</v>
      </c>
      <c r="G584" t="s">
        <v>25</v>
      </c>
      <c r="H584" t="s">
        <v>336</v>
      </c>
      <c r="I584">
        <v>12</v>
      </c>
      <c r="J584">
        <v>4</v>
      </c>
      <c r="K584" s="20">
        <v>-1080</v>
      </c>
      <c r="L584" t="s">
        <v>269</v>
      </c>
      <c r="M584" t="s">
        <v>46</v>
      </c>
      <c r="N584" t="s">
        <v>26</v>
      </c>
    </row>
    <row r="585" spans="1:14" x14ac:dyDescent="0.3">
      <c r="A585" s="8">
        <v>46017</v>
      </c>
      <c r="B585" t="s">
        <v>262</v>
      </c>
      <c r="C585" t="s">
        <v>342</v>
      </c>
      <c r="D585" s="20">
        <v>7005</v>
      </c>
      <c r="E585" t="s">
        <v>273</v>
      </c>
      <c r="F585" t="s">
        <v>333</v>
      </c>
      <c r="G585" t="s">
        <v>98</v>
      </c>
      <c r="H585" t="s">
        <v>336</v>
      </c>
      <c r="I585">
        <v>12</v>
      </c>
      <c r="J585">
        <v>4</v>
      </c>
      <c r="K585" s="20">
        <v>-7005</v>
      </c>
      <c r="L585" t="s">
        <v>269</v>
      </c>
      <c r="M585" t="s">
        <v>116</v>
      </c>
      <c r="N585" t="s">
        <v>94</v>
      </c>
    </row>
    <row r="586" spans="1:14" x14ac:dyDescent="0.3">
      <c r="A586" s="8">
        <v>46018</v>
      </c>
      <c r="B586" t="s">
        <v>262</v>
      </c>
      <c r="C586" t="s">
        <v>174</v>
      </c>
      <c r="D586" s="20">
        <v>431</v>
      </c>
      <c r="E586" t="s">
        <v>371</v>
      </c>
      <c r="F586" t="s">
        <v>334</v>
      </c>
      <c r="G586" t="s">
        <v>25</v>
      </c>
      <c r="H586" t="s">
        <v>337</v>
      </c>
      <c r="I586">
        <v>12</v>
      </c>
      <c r="J586">
        <v>4</v>
      </c>
      <c r="K586" s="20">
        <v>431</v>
      </c>
      <c r="L586" t="s">
        <v>268</v>
      </c>
      <c r="M586" t="s">
        <v>60</v>
      </c>
      <c r="N586" t="s">
        <v>26</v>
      </c>
    </row>
    <row r="587" spans="1:14" x14ac:dyDescent="0.3">
      <c r="A587" s="8">
        <v>46018</v>
      </c>
      <c r="B587" t="s">
        <v>262</v>
      </c>
      <c r="C587" t="s">
        <v>172</v>
      </c>
      <c r="D587" s="20">
        <v>3600</v>
      </c>
      <c r="E587" t="s">
        <v>370</v>
      </c>
      <c r="F587" t="s">
        <v>334</v>
      </c>
      <c r="G587" t="s">
        <v>25</v>
      </c>
      <c r="H587" t="s">
        <v>337</v>
      </c>
      <c r="I587">
        <v>12</v>
      </c>
      <c r="J587">
        <v>4</v>
      </c>
      <c r="K587" s="20">
        <v>3600</v>
      </c>
      <c r="L587" t="s">
        <v>268</v>
      </c>
      <c r="M587" t="s">
        <v>58</v>
      </c>
      <c r="N587" t="s">
        <v>26</v>
      </c>
    </row>
    <row r="588" spans="1:14" x14ac:dyDescent="0.3">
      <c r="A588" s="8">
        <v>46021</v>
      </c>
      <c r="B588" t="s">
        <v>262</v>
      </c>
      <c r="C588" t="s">
        <v>354</v>
      </c>
      <c r="D588" s="20">
        <v>10000</v>
      </c>
      <c r="E588" t="s">
        <v>390</v>
      </c>
      <c r="F588" t="s">
        <v>334</v>
      </c>
      <c r="G588" t="s">
        <v>9</v>
      </c>
      <c r="H588" t="s">
        <v>337</v>
      </c>
      <c r="I588">
        <v>12</v>
      </c>
      <c r="J588">
        <v>4</v>
      </c>
      <c r="K588" s="20">
        <v>10000</v>
      </c>
      <c r="L588" t="s">
        <v>268</v>
      </c>
      <c r="M588" t="s">
        <v>127</v>
      </c>
      <c r="N588" t="s">
        <v>126</v>
      </c>
    </row>
    <row r="589" spans="1:14" x14ac:dyDescent="0.3">
      <c r="A589" s="8">
        <v>46021</v>
      </c>
      <c r="B589" t="s">
        <v>262</v>
      </c>
      <c r="C589" t="s">
        <v>355</v>
      </c>
      <c r="D589" s="20">
        <v>5000</v>
      </c>
      <c r="E589" t="s">
        <v>389</v>
      </c>
      <c r="F589" t="s">
        <v>334</v>
      </c>
      <c r="G589" t="s">
        <v>9</v>
      </c>
      <c r="H589" t="s">
        <v>337</v>
      </c>
      <c r="I589">
        <v>12</v>
      </c>
      <c r="J589">
        <v>4</v>
      </c>
      <c r="K589" s="20">
        <v>5000</v>
      </c>
      <c r="L589" t="s">
        <v>268</v>
      </c>
      <c r="M589" t="s">
        <v>128</v>
      </c>
      <c r="N589" t="s">
        <v>126</v>
      </c>
    </row>
    <row r="590" spans="1:14" x14ac:dyDescent="0.3">
      <c r="A590" s="8">
        <v>46021</v>
      </c>
      <c r="B590" t="s">
        <v>262</v>
      </c>
      <c r="C590" t="s">
        <v>356</v>
      </c>
      <c r="D590" s="20">
        <v>15000</v>
      </c>
      <c r="E590" t="s">
        <v>301</v>
      </c>
      <c r="F590" t="s">
        <v>333</v>
      </c>
      <c r="G590" t="s">
        <v>133</v>
      </c>
      <c r="H590" t="s">
        <v>336</v>
      </c>
      <c r="I590">
        <v>12</v>
      </c>
      <c r="J590">
        <v>4</v>
      </c>
      <c r="K590" s="20">
        <v>-15000</v>
      </c>
      <c r="L590" t="s">
        <v>269</v>
      </c>
      <c r="M590" t="s">
        <v>134</v>
      </c>
      <c r="N590" t="s">
        <v>132</v>
      </c>
    </row>
    <row r="591" spans="1:14" x14ac:dyDescent="0.3">
      <c r="A591" s="8">
        <v>46021</v>
      </c>
      <c r="B591" t="s">
        <v>262</v>
      </c>
      <c r="C591" t="s">
        <v>357</v>
      </c>
      <c r="D591" s="20">
        <v>12181.68</v>
      </c>
      <c r="E591" t="s">
        <v>302</v>
      </c>
      <c r="F591" t="s">
        <v>333</v>
      </c>
      <c r="G591" t="s">
        <v>117</v>
      </c>
      <c r="H591" t="s">
        <v>336</v>
      </c>
      <c r="I591">
        <v>12</v>
      </c>
      <c r="J591">
        <v>4</v>
      </c>
      <c r="K591" s="20">
        <v>-12181.68</v>
      </c>
      <c r="L591" t="s">
        <v>269</v>
      </c>
      <c r="M591" t="s">
        <v>118</v>
      </c>
      <c r="N591" t="s">
        <v>103</v>
      </c>
    </row>
    <row r="592" spans="1:14" x14ac:dyDescent="0.3">
      <c r="A592" s="8">
        <v>46021</v>
      </c>
      <c r="B592" t="s">
        <v>262</v>
      </c>
      <c r="C592" t="s">
        <v>361</v>
      </c>
      <c r="D592" s="20">
        <v>5000</v>
      </c>
      <c r="E592" t="s">
        <v>306</v>
      </c>
      <c r="F592" t="s">
        <v>333</v>
      </c>
      <c r="G592" t="s">
        <v>124</v>
      </c>
      <c r="H592" t="s">
        <v>336</v>
      </c>
      <c r="I592">
        <v>12</v>
      </c>
      <c r="J592">
        <v>4</v>
      </c>
      <c r="K592" s="20">
        <v>-5000</v>
      </c>
      <c r="L592" t="s">
        <v>269</v>
      </c>
      <c r="M592" t="s">
        <v>125</v>
      </c>
      <c r="N592" t="s">
        <v>103</v>
      </c>
    </row>
    <row r="593" spans="1:14" x14ac:dyDescent="0.3">
      <c r="A593" s="8">
        <v>46021</v>
      </c>
      <c r="B593" t="s">
        <v>262</v>
      </c>
      <c r="C593" t="s">
        <v>360</v>
      </c>
      <c r="D593" s="20">
        <v>2540</v>
      </c>
      <c r="E593" t="s">
        <v>305</v>
      </c>
      <c r="F593" t="s">
        <v>333</v>
      </c>
      <c r="G593" t="s">
        <v>11</v>
      </c>
      <c r="H593" t="s">
        <v>336</v>
      </c>
      <c r="I593">
        <v>12</v>
      </c>
      <c r="J593">
        <v>4</v>
      </c>
      <c r="K593" s="20">
        <v>-2540</v>
      </c>
      <c r="L593" t="s">
        <v>269</v>
      </c>
      <c r="M593" t="s">
        <v>115</v>
      </c>
      <c r="N593" t="s">
        <v>103</v>
      </c>
    </row>
    <row r="594" spans="1:14" x14ac:dyDescent="0.3">
      <c r="A594" s="8">
        <v>46021</v>
      </c>
      <c r="B594" t="s">
        <v>262</v>
      </c>
      <c r="C594" t="s">
        <v>185</v>
      </c>
      <c r="D594" s="20">
        <v>2070</v>
      </c>
      <c r="E594" t="s">
        <v>281</v>
      </c>
      <c r="F594" t="s">
        <v>333</v>
      </c>
      <c r="G594" t="s">
        <v>105</v>
      </c>
      <c r="H594" t="s">
        <v>336</v>
      </c>
      <c r="I594">
        <v>12</v>
      </c>
      <c r="J594">
        <v>4</v>
      </c>
      <c r="K594" s="20">
        <v>-2070</v>
      </c>
      <c r="L594" t="s">
        <v>269</v>
      </c>
      <c r="M594" t="s">
        <v>142</v>
      </c>
      <c r="N594" t="s">
        <v>335</v>
      </c>
    </row>
    <row r="595" spans="1:14" x14ac:dyDescent="0.3">
      <c r="A595" s="8">
        <v>46021</v>
      </c>
      <c r="B595" t="s">
        <v>262</v>
      </c>
      <c r="C595" t="s">
        <v>248</v>
      </c>
      <c r="D595" s="20">
        <v>2000</v>
      </c>
      <c r="E595" t="s">
        <v>426</v>
      </c>
      <c r="F595" t="s">
        <v>334</v>
      </c>
      <c r="G595" t="s">
        <v>25</v>
      </c>
      <c r="H595" t="s">
        <v>337</v>
      </c>
      <c r="I595">
        <v>12</v>
      </c>
      <c r="J595">
        <v>4</v>
      </c>
      <c r="K595" s="20">
        <v>2000</v>
      </c>
      <c r="L595" t="s">
        <v>268</v>
      </c>
      <c r="M595" t="s">
        <v>71</v>
      </c>
      <c r="N595" t="s">
        <v>26</v>
      </c>
    </row>
    <row r="596" spans="1:14" x14ac:dyDescent="0.3">
      <c r="A596" s="8">
        <v>46021</v>
      </c>
      <c r="B596" t="s">
        <v>262</v>
      </c>
      <c r="C596" t="s">
        <v>217</v>
      </c>
      <c r="D596" s="20">
        <v>2000</v>
      </c>
      <c r="E596" t="s">
        <v>419</v>
      </c>
      <c r="F596" t="s">
        <v>334</v>
      </c>
      <c r="G596" t="s">
        <v>25</v>
      </c>
      <c r="H596" t="s">
        <v>337</v>
      </c>
      <c r="I596">
        <v>12</v>
      </c>
      <c r="J596">
        <v>4</v>
      </c>
      <c r="K596" s="20">
        <v>2000</v>
      </c>
      <c r="L596" t="s">
        <v>268</v>
      </c>
      <c r="M596" t="s">
        <v>36</v>
      </c>
      <c r="N596" t="s">
        <v>26</v>
      </c>
    </row>
    <row r="597" spans="1:14" x14ac:dyDescent="0.3">
      <c r="A597" s="8">
        <v>46021</v>
      </c>
      <c r="B597" t="s">
        <v>262</v>
      </c>
      <c r="C597" t="s">
        <v>353</v>
      </c>
      <c r="D597" s="20">
        <v>15000</v>
      </c>
      <c r="E597" t="s">
        <v>300</v>
      </c>
      <c r="F597" t="s">
        <v>333</v>
      </c>
      <c r="G597" t="s">
        <v>130</v>
      </c>
      <c r="H597" t="s">
        <v>336</v>
      </c>
      <c r="I597">
        <v>12</v>
      </c>
      <c r="J597">
        <v>4</v>
      </c>
      <c r="K597" s="20">
        <v>-15000</v>
      </c>
      <c r="L597" t="s">
        <v>269</v>
      </c>
      <c r="M597" t="s">
        <v>131</v>
      </c>
      <c r="N597" t="s">
        <v>103</v>
      </c>
    </row>
    <row r="598" spans="1:14" x14ac:dyDescent="0.3">
      <c r="A598" s="8">
        <v>46022</v>
      </c>
      <c r="B598" t="s">
        <v>262</v>
      </c>
      <c r="C598" t="s">
        <v>345</v>
      </c>
      <c r="D598" s="20">
        <v>4000</v>
      </c>
      <c r="E598" t="s">
        <v>385</v>
      </c>
      <c r="F598" t="s">
        <v>334</v>
      </c>
      <c r="G598" t="s">
        <v>25</v>
      </c>
      <c r="H598" t="s">
        <v>337</v>
      </c>
      <c r="I598">
        <v>12</v>
      </c>
      <c r="J598">
        <v>4</v>
      </c>
      <c r="K598" s="20">
        <v>4000</v>
      </c>
      <c r="L598" t="s">
        <v>268</v>
      </c>
      <c r="M598" t="s">
        <v>54</v>
      </c>
      <c r="N598" t="s">
        <v>26</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279E7-3B07-45DD-9474-7AC44DE36A91}">
  <dimension ref="A2:L88"/>
  <sheetViews>
    <sheetView tabSelected="1" workbookViewId="0">
      <selection activeCell="D20" sqref="D20:E21 D23:E34"/>
      <pivotSelection pane="bottomRight" showHeader="1" click="1" r:id="rId1">
        <pivotArea type="all" dataOnly="0" outline="0" fieldPosition="0"/>
      </pivotSelection>
    </sheetView>
  </sheetViews>
  <sheetFormatPr defaultRowHeight="14.4" x14ac:dyDescent="0.3"/>
  <cols>
    <col min="1" max="1" width="14.109375" bestFit="1" customWidth="1"/>
    <col min="2" max="2" width="14.44140625" bestFit="1" customWidth="1"/>
    <col min="3" max="3" width="16.77734375" bestFit="1" customWidth="1"/>
    <col min="4" max="4" width="14.77734375" bestFit="1" customWidth="1"/>
    <col min="5" max="5" width="14.44140625" bestFit="1" customWidth="1"/>
    <col min="6" max="6" width="19.88671875" bestFit="1" customWidth="1"/>
    <col min="7" max="7" width="13.21875" bestFit="1" customWidth="1"/>
    <col min="8" max="8" width="9.77734375" bestFit="1" customWidth="1"/>
    <col min="9" max="9" width="11.88671875" customWidth="1"/>
    <col min="10" max="11" width="13" customWidth="1"/>
    <col min="12" max="12" width="15.6640625" customWidth="1"/>
    <col min="13" max="14" width="10.77734375" bestFit="1" customWidth="1"/>
    <col min="15" max="16" width="7.77734375" bestFit="1" customWidth="1"/>
    <col min="17" max="17" width="10.77734375" bestFit="1" customWidth="1"/>
    <col min="18" max="18" width="9.77734375" bestFit="1" customWidth="1"/>
    <col min="19" max="19" width="8.77734375" bestFit="1" customWidth="1"/>
    <col min="20" max="26" width="9.77734375" bestFit="1" customWidth="1"/>
    <col min="27" max="31" width="8.77734375" bestFit="1" customWidth="1"/>
    <col min="32" max="42" width="9.77734375" bestFit="1" customWidth="1"/>
    <col min="43" max="44" width="8.77734375" bestFit="1" customWidth="1"/>
    <col min="45" max="54" width="9.77734375" bestFit="1" customWidth="1"/>
    <col min="55" max="56" width="8.77734375" bestFit="1" customWidth="1"/>
    <col min="57" max="67" width="9.77734375" bestFit="1" customWidth="1"/>
    <col min="68" max="71" width="8.77734375" bestFit="1" customWidth="1"/>
    <col min="72" max="79" width="9.77734375" bestFit="1" customWidth="1"/>
    <col min="80" max="85" width="8.77734375" bestFit="1" customWidth="1"/>
    <col min="86" max="94" width="9.77734375" bestFit="1" customWidth="1"/>
    <col min="95" max="99" width="8.77734375" bestFit="1" customWidth="1"/>
    <col min="100" max="108" width="9.77734375" bestFit="1" customWidth="1"/>
    <col min="109" max="113" width="8.77734375" bestFit="1" customWidth="1"/>
    <col min="114" max="127" width="9.77734375" bestFit="1" customWidth="1"/>
    <col min="128" max="139" width="10.77734375" bestFit="1" customWidth="1"/>
    <col min="140" max="143" width="9.77734375" bestFit="1" customWidth="1"/>
    <col min="144" max="150" width="10.77734375" bestFit="1" customWidth="1"/>
    <col min="151" max="153" width="9.77734375" bestFit="1" customWidth="1"/>
    <col min="154" max="162" width="10.77734375" bestFit="1" customWidth="1"/>
    <col min="163" max="214" width="15.5546875" bestFit="1" customWidth="1"/>
    <col min="215" max="215" width="10.77734375" bestFit="1" customWidth="1"/>
  </cols>
  <sheetData>
    <row r="2" spans="1:12" x14ac:dyDescent="0.3">
      <c r="I2" s="26" t="str">
        <f>A23</f>
        <v>Fixed Expense</v>
      </c>
      <c r="J2" s="26" t="str">
        <f>A24</f>
        <v>Government Payment</v>
      </c>
      <c r="K2" s="26" t="str">
        <f>A25</f>
        <v>Monthly Expense</v>
      </c>
      <c r="L2" s="26" t="str">
        <f>A26</f>
        <v>Personal Expense</v>
      </c>
    </row>
    <row r="3" spans="1:12" x14ac:dyDescent="0.3">
      <c r="A3" s="21" t="s">
        <v>431</v>
      </c>
      <c r="B3" t="s">
        <v>450</v>
      </c>
      <c r="C3" t="s">
        <v>333</v>
      </c>
      <c r="D3" t="s">
        <v>451</v>
      </c>
      <c r="F3" s="21" t="s">
        <v>1</v>
      </c>
      <c r="G3" t="s" vm="3">
        <v>25</v>
      </c>
      <c r="I3" s="27">
        <f>GETPIVOTDATA("[Measures].[Sum of Amount]",$A$22,"[CleanedSheet].[Macro_Category]","[CleanedSheet].[Macro_Category].&amp;[Fixed Expense]")</f>
        <v>185000</v>
      </c>
      <c r="J3" s="27">
        <f>GETPIVOTDATA("[Measures].[Sum of Amount]",$A$22,"[CleanedSheet].[Macro_Category]","[CleanedSheet].[Macro_Category].&amp;[Government Payment]")</f>
        <v>85598.91</v>
      </c>
      <c r="K3" s="27">
        <f>GETPIVOTDATA("[Measures].[Sum of Amount]",$A$22,"[CleanedSheet].[Macro_Category]","[CleanedSheet].[Macro_Category].&amp;[Monthly Expense]")</f>
        <v>492214.45</v>
      </c>
      <c r="L3" s="27">
        <f>GETPIVOTDATA("[Measures].[Sum of Amount]",$A$22,"[CleanedSheet].[Macro_Category]","[CleanedSheet].[Macro_Category].&amp;[Personal Expense]")</f>
        <v>9967</v>
      </c>
    </row>
    <row r="4" spans="1:12" x14ac:dyDescent="0.3">
      <c r="A4" s="22" t="s">
        <v>433</v>
      </c>
      <c r="B4" s="36">
        <v>56635</v>
      </c>
      <c r="C4" s="36">
        <v>93742.09</v>
      </c>
      <c r="D4" s="36">
        <v>-37107.089999999997</v>
      </c>
      <c r="F4" s="21" t="s">
        <v>447</v>
      </c>
      <c r="G4" t="s" vm="2">
        <v>445</v>
      </c>
      <c r="K4" s="22"/>
      <c r="L4" s="24"/>
    </row>
    <row r="5" spans="1:12" x14ac:dyDescent="0.3">
      <c r="A5" s="22" t="s">
        <v>434</v>
      </c>
      <c r="B5" s="36">
        <v>65231</v>
      </c>
      <c r="C5" s="36">
        <v>47727.67</v>
      </c>
      <c r="D5" s="36">
        <v>17503.330000000002</v>
      </c>
      <c r="K5" s="22"/>
      <c r="L5" s="24"/>
    </row>
    <row r="6" spans="1:12" x14ac:dyDescent="0.3">
      <c r="A6" s="22" t="s">
        <v>435</v>
      </c>
      <c r="B6" s="36">
        <v>78601</v>
      </c>
      <c r="C6" s="36">
        <v>70306.539999999994</v>
      </c>
      <c r="D6" s="36">
        <v>8294.4600000000064</v>
      </c>
      <c r="F6" s="21" t="s">
        <v>431</v>
      </c>
      <c r="G6" t="s">
        <v>444</v>
      </c>
      <c r="K6" s="22"/>
      <c r="L6" s="24"/>
    </row>
    <row r="7" spans="1:12" x14ac:dyDescent="0.3">
      <c r="A7" s="22" t="s">
        <v>436</v>
      </c>
      <c r="B7" s="36">
        <v>63142</v>
      </c>
      <c r="C7" s="36">
        <v>58605.71</v>
      </c>
      <c r="D7" s="36">
        <v>4536.2900000000009</v>
      </c>
      <c r="F7" s="22" t="s">
        <v>58</v>
      </c>
      <c r="G7" s="36">
        <v>75600</v>
      </c>
      <c r="K7" s="22"/>
      <c r="L7" s="24"/>
    </row>
    <row r="8" spans="1:12" x14ac:dyDescent="0.3">
      <c r="A8" s="22" t="s">
        <v>206</v>
      </c>
      <c r="B8" s="36">
        <v>76602</v>
      </c>
      <c r="C8" s="36">
        <v>75457.960000000006</v>
      </c>
      <c r="D8" s="36">
        <v>1144.0399999999936</v>
      </c>
      <c r="F8" s="22" t="s">
        <v>323</v>
      </c>
      <c r="G8" s="36">
        <v>63000</v>
      </c>
      <c r="K8" s="22"/>
      <c r="L8" s="24"/>
    </row>
    <row r="9" spans="1:12" x14ac:dyDescent="0.3">
      <c r="A9" s="22" t="s">
        <v>437</v>
      </c>
      <c r="B9" s="36">
        <v>112292</v>
      </c>
      <c r="C9" s="36">
        <v>68281.83</v>
      </c>
      <c r="D9" s="36">
        <v>44010.17</v>
      </c>
      <c r="F9" s="22" t="s">
        <v>49</v>
      </c>
      <c r="G9" s="36">
        <v>34200</v>
      </c>
      <c r="K9" s="22"/>
      <c r="L9" s="24"/>
    </row>
    <row r="10" spans="1:12" x14ac:dyDescent="0.3">
      <c r="A10" s="22" t="s">
        <v>438</v>
      </c>
      <c r="B10" s="36">
        <v>71581</v>
      </c>
      <c r="C10" s="36">
        <v>56672.21</v>
      </c>
      <c r="D10" s="36">
        <v>14908.79</v>
      </c>
      <c r="F10" s="22" t="s">
        <v>29</v>
      </c>
      <c r="G10" s="36">
        <v>32000</v>
      </c>
      <c r="K10" s="22"/>
      <c r="L10" s="24"/>
    </row>
    <row r="11" spans="1:12" x14ac:dyDescent="0.3">
      <c r="A11" s="22" t="s">
        <v>439</v>
      </c>
      <c r="B11" s="36">
        <v>58312</v>
      </c>
      <c r="C11" s="36">
        <v>60561.01</v>
      </c>
      <c r="D11" s="36">
        <v>-2249.010000000002</v>
      </c>
      <c r="F11" s="22" t="s">
        <v>54</v>
      </c>
      <c r="G11" s="36">
        <v>28000</v>
      </c>
      <c r="K11" s="22"/>
      <c r="L11" s="24"/>
    </row>
    <row r="12" spans="1:12" x14ac:dyDescent="0.3">
      <c r="A12" s="22" t="s">
        <v>440</v>
      </c>
      <c r="B12" s="36">
        <v>54362</v>
      </c>
      <c r="C12" s="36">
        <v>58051.46</v>
      </c>
      <c r="D12" s="36">
        <v>-3689.4599999999991</v>
      </c>
      <c r="F12" s="22" t="s">
        <v>75</v>
      </c>
      <c r="G12" s="36">
        <v>25300</v>
      </c>
      <c r="K12" s="22"/>
      <c r="L12" s="24"/>
    </row>
    <row r="13" spans="1:12" x14ac:dyDescent="0.3">
      <c r="A13" s="22" t="s">
        <v>441</v>
      </c>
      <c r="B13" s="36">
        <v>74732</v>
      </c>
      <c r="C13" s="36">
        <v>62669.81</v>
      </c>
      <c r="D13" s="36">
        <v>12062.190000000002</v>
      </c>
      <c r="F13" s="22" t="s">
        <v>43</v>
      </c>
      <c r="G13" s="36">
        <v>25000</v>
      </c>
      <c r="K13" s="22"/>
      <c r="L13" s="24"/>
    </row>
    <row r="14" spans="1:12" x14ac:dyDescent="0.3">
      <c r="A14" s="22" t="s">
        <v>442</v>
      </c>
      <c r="B14" s="36">
        <v>78499.8</v>
      </c>
      <c r="C14" s="36">
        <v>63376.39</v>
      </c>
      <c r="D14" s="36">
        <v>15123.410000000003</v>
      </c>
      <c r="F14" s="22" t="s">
        <v>321</v>
      </c>
      <c r="G14" s="36">
        <v>23860</v>
      </c>
    </row>
    <row r="15" spans="1:12" x14ac:dyDescent="0.3">
      <c r="A15" s="22" t="s">
        <v>443</v>
      </c>
      <c r="B15" s="36">
        <v>44321</v>
      </c>
      <c r="C15" s="36">
        <v>57327.68</v>
      </c>
      <c r="D15" s="36">
        <v>-13006.68</v>
      </c>
      <c r="F15" s="22" t="s">
        <v>80</v>
      </c>
      <c r="G15" s="36">
        <v>19800</v>
      </c>
    </row>
    <row r="16" spans="1:12" x14ac:dyDescent="0.3">
      <c r="A16" s="22" t="s">
        <v>432</v>
      </c>
      <c r="B16" s="36">
        <v>834310.8</v>
      </c>
      <c r="C16" s="36">
        <v>772780.36</v>
      </c>
      <c r="D16" s="36">
        <v>61530.440000000061</v>
      </c>
      <c r="F16" s="22" t="s">
        <v>34</v>
      </c>
      <c r="G16" s="36">
        <v>19000</v>
      </c>
    </row>
    <row r="17" spans="1:7" x14ac:dyDescent="0.3">
      <c r="F17" s="22" t="s">
        <v>432</v>
      </c>
      <c r="G17" s="36">
        <v>345760</v>
      </c>
    </row>
    <row r="20" spans="1:7" x14ac:dyDescent="0.3">
      <c r="A20" s="21" t="s">
        <v>267</v>
      </c>
      <c r="B20" t="s" vm="1">
        <v>269</v>
      </c>
      <c r="D20" s="21" t="s">
        <v>267</v>
      </c>
      <c r="E20" t="s" vm="4">
        <v>268</v>
      </c>
    </row>
    <row r="21" spans="1:7" x14ac:dyDescent="0.3">
      <c r="D21" s="21" t="s">
        <v>308</v>
      </c>
      <c r="E21" t="s" vm="5">
        <v>26</v>
      </c>
    </row>
    <row r="22" spans="1:7" x14ac:dyDescent="0.3">
      <c r="A22" s="21" t="s">
        <v>431</v>
      </c>
      <c r="B22" t="s">
        <v>446</v>
      </c>
    </row>
    <row r="23" spans="1:7" x14ac:dyDescent="0.3">
      <c r="A23" s="22" t="s">
        <v>132</v>
      </c>
      <c r="B23" s="37">
        <v>185000</v>
      </c>
      <c r="D23" s="21" t="s">
        <v>431</v>
      </c>
      <c r="E23" t="s">
        <v>446</v>
      </c>
    </row>
    <row r="24" spans="1:7" x14ac:dyDescent="0.3">
      <c r="A24" s="22" t="s">
        <v>94</v>
      </c>
      <c r="B24" s="37">
        <v>85598.91</v>
      </c>
      <c r="D24" s="22" t="s">
        <v>36</v>
      </c>
      <c r="E24" s="37">
        <v>16500</v>
      </c>
    </row>
    <row r="25" spans="1:7" x14ac:dyDescent="0.3">
      <c r="A25" s="22" t="s">
        <v>103</v>
      </c>
      <c r="B25" s="37">
        <v>492214.45</v>
      </c>
      <c r="D25" s="22" t="s">
        <v>43</v>
      </c>
      <c r="E25" s="37">
        <v>25000</v>
      </c>
    </row>
    <row r="26" spans="1:7" x14ac:dyDescent="0.3">
      <c r="A26" s="22" t="s">
        <v>90</v>
      </c>
      <c r="B26" s="37">
        <v>9967</v>
      </c>
      <c r="D26" s="22" t="s">
        <v>49</v>
      </c>
      <c r="E26" s="37">
        <v>34200</v>
      </c>
    </row>
    <row r="27" spans="1:7" x14ac:dyDescent="0.3">
      <c r="A27" s="22" t="s">
        <v>432</v>
      </c>
      <c r="B27" s="37">
        <v>772780.36</v>
      </c>
      <c r="D27" s="22" t="s">
        <v>71</v>
      </c>
      <c r="E27" s="37">
        <v>12000</v>
      </c>
    </row>
    <row r="28" spans="1:7" x14ac:dyDescent="0.3">
      <c r="D28" s="22" t="s">
        <v>80</v>
      </c>
      <c r="E28" s="37">
        <v>19800</v>
      </c>
    </row>
    <row r="29" spans="1:7" x14ac:dyDescent="0.3">
      <c r="D29" s="22" t="s">
        <v>323</v>
      </c>
      <c r="E29" s="37">
        <v>63000</v>
      </c>
    </row>
    <row r="30" spans="1:7" x14ac:dyDescent="0.3">
      <c r="A30" s="21" t="s">
        <v>431</v>
      </c>
      <c r="B30" t="s">
        <v>446</v>
      </c>
      <c r="D30" s="22" t="s">
        <v>54</v>
      </c>
      <c r="E30" s="37">
        <v>28000</v>
      </c>
    </row>
    <row r="31" spans="1:7" x14ac:dyDescent="0.3">
      <c r="A31" s="22" t="s">
        <v>135</v>
      </c>
      <c r="B31" s="37"/>
      <c r="D31" s="22" t="s">
        <v>58</v>
      </c>
      <c r="E31" s="37">
        <v>75600</v>
      </c>
    </row>
    <row r="32" spans="1:7" x14ac:dyDescent="0.3">
      <c r="A32" s="25" t="s">
        <v>433</v>
      </c>
      <c r="B32" s="20">
        <v>700</v>
      </c>
      <c r="D32" s="22" t="s">
        <v>141</v>
      </c>
      <c r="E32" s="37">
        <v>141000</v>
      </c>
    </row>
    <row r="33" spans="1:6" x14ac:dyDescent="0.3">
      <c r="A33" s="25" t="s">
        <v>434</v>
      </c>
      <c r="B33" s="20">
        <v>3305</v>
      </c>
      <c r="D33" s="22" t="s">
        <v>321</v>
      </c>
      <c r="E33" s="37">
        <v>23860</v>
      </c>
    </row>
    <row r="34" spans="1:6" x14ac:dyDescent="0.3">
      <c r="A34" s="25" t="s">
        <v>435</v>
      </c>
      <c r="B34" s="20">
        <v>14702</v>
      </c>
      <c r="D34" s="22" t="s">
        <v>432</v>
      </c>
      <c r="E34" s="37">
        <v>438960</v>
      </c>
    </row>
    <row r="35" spans="1:6" x14ac:dyDescent="0.3">
      <c r="A35" s="25" t="s">
        <v>436</v>
      </c>
      <c r="B35" s="20">
        <v>8210.19</v>
      </c>
    </row>
    <row r="36" spans="1:6" x14ac:dyDescent="0.3">
      <c r="A36" s="25" t="s">
        <v>206</v>
      </c>
      <c r="B36" s="20">
        <v>8910</v>
      </c>
    </row>
    <row r="37" spans="1:6" x14ac:dyDescent="0.3">
      <c r="A37" s="25" t="s">
        <v>437</v>
      </c>
      <c r="B37" s="20">
        <v>10715</v>
      </c>
    </row>
    <row r="38" spans="1:6" x14ac:dyDescent="0.3">
      <c r="A38" s="25" t="s">
        <v>438</v>
      </c>
      <c r="B38" s="20">
        <v>43370</v>
      </c>
    </row>
    <row r="39" spans="1:6" x14ac:dyDescent="0.3">
      <c r="A39" s="25" t="s">
        <v>439</v>
      </c>
      <c r="B39" s="20">
        <v>6000</v>
      </c>
    </row>
    <row r="40" spans="1:6" x14ac:dyDescent="0.3">
      <c r="A40" s="25" t="s">
        <v>441</v>
      </c>
      <c r="B40" s="20">
        <v>910</v>
      </c>
    </row>
    <row r="41" spans="1:6" x14ac:dyDescent="0.3">
      <c r="A41" s="25" t="s">
        <v>442</v>
      </c>
      <c r="B41" s="20">
        <v>3760</v>
      </c>
    </row>
    <row r="42" spans="1:6" x14ac:dyDescent="0.3">
      <c r="A42" s="22" t="s">
        <v>432</v>
      </c>
      <c r="B42" s="20">
        <v>100582.19</v>
      </c>
    </row>
    <row r="46" spans="1:6" x14ac:dyDescent="0.3">
      <c r="A46" s="21" t="s">
        <v>431</v>
      </c>
      <c r="B46" t="s">
        <v>446</v>
      </c>
      <c r="C46" t="s">
        <v>444</v>
      </c>
      <c r="D46" t="s">
        <v>448</v>
      </c>
      <c r="F46" s="18"/>
    </row>
    <row r="47" spans="1:6" x14ac:dyDescent="0.3">
      <c r="A47" s="22" t="s">
        <v>126</v>
      </c>
      <c r="B47" s="37"/>
      <c r="C47" s="37"/>
      <c r="D47" s="37"/>
    </row>
    <row r="48" spans="1:6" x14ac:dyDescent="0.3">
      <c r="A48" s="25" t="s">
        <v>433</v>
      </c>
      <c r="B48" s="37">
        <v>7000</v>
      </c>
      <c r="C48" s="36">
        <v>56635</v>
      </c>
      <c r="D48" s="28">
        <v>0.12359848150437008</v>
      </c>
      <c r="F48" s="32"/>
    </row>
    <row r="49" spans="1:6" x14ac:dyDescent="0.3">
      <c r="A49" s="25" t="s">
        <v>434</v>
      </c>
      <c r="B49" s="37">
        <v>13000</v>
      </c>
      <c r="C49" s="36">
        <v>65231</v>
      </c>
      <c r="D49" s="28">
        <v>0.1992917477886281</v>
      </c>
      <c r="F49" s="32"/>
    </row>
    <row r="50" spans="1:6" x14ac:dyDescent="0.3">
      <c r="A50" s="25" t="s">
        <v>435</v>
      </c>
      <c r="B50" s="37">
        <v>15000</v>
      </c>
      <c r="C50" s="36">
        <v>78601</v>
      </c>
      <c r="D50" s="28">
        <v>0.19083726670144147</v>
      </c>
      <c r="F50" s="32"/>
    </row>
    <row r="51" spans="1:6" x14ac:dyDescent="0.3">
      <c r="A51" s="25" t="s">
        <v>436</v>
      </c>
      <c r="B51" s="37">
        <v>15000</v>
      </c>
      <c r="C51" s="36">
        <v>63142</v>
      </c>
      <c r="D51" s="28">
        <v>0.23755978587944632</v>
      </c>
      <c r="F51" s="32"/>
    </row>
    <row r="52" spans="1:6" x14ac:dyDescent="0.3">
      <c r="A52" s="25" t="s">
        <v>206</v>
      </c>
      <c r="B52" s="37">
        <v>13000</v>
      </c>
      <c r="C52" s="36">
        <v>76602</v>
      </c>
      <c r="D52" s="28">
        <v>0.16970836270593456</v>
      </c>
      <c r="F52" s="32"/>
    </row>
    <row r="53" spans="1:6" x14ac:dyDescent="0.3">
      <c r="A53" s="25" t="s">
        <v>437</v>
      </c>
      <c r="B53" s="37">
        <v>12000</v>
      </c>
      <c r="C53" s="36">
        <v>112292</v>
      </c>
      <c r="D53" s="28">
        <v>0.10686424678516725</v>
      </c>
      <c r="F53" s="32"/>
    </row>
    <row r="54" spans="1:6" x14ac:dyDescent="0.3">
      <c r="A54" s="25" t="s">
        <v>438</v>
      </c>
      <c r="B54" s="37">
        <v>16000</v>
      </c>
      <c r="C54" s="36">
        <v>71581</v>
      </c>
      <c r="D54" s="28">
        <v>0.22352300191391569</v>
      </c>
      <c r="F54" s="32"/>
    </row>
    <row r="55" spans="1:6" x14ac:dyDescent="0.3">
      <c r="A55" s="25" t="s">
        <v>439</v>
      </c>
      <c r="B55" s="37">
        <v>15000</v>
      </c>
      <c r="C55" s="36">
        <v>58312</v>
      </c>
      <c r="D55" s="28">
        <v>0.25723693236383594</v>
      </c>
      <c r="F55" s="32"/>
    </row>
    <row r="56" spans="1:6" x14ac:dyDescent="0.3">
      <c r="A56" s="25" t="s">
        <v>440</v>
      </c>
      <c r="B56" s="37">
        <v>14600</v>
      </c>
      <c r="C56" s="36">
        <v>54362</v>
      </c>
      <c r="D56" s="28">
        <v>0.26856995695522606</v>
      </c>
      <c r="F56" s="32"/>
    </row>
    <row r="57" spans="1:6" x14ac:dyDescent="0.3">
      <c r="A57" s="25" t="s">
        <v>441</v>
      </c>
      <c r="B57" s="37">
        <v>10000</v>
      </c>
      <c r="C57" s="36">
        <v>74732</v>
      </c>
      <c r="D57" s="28">
        <v>0.13381148637799067</v>
      </c>
      <c r="F57" s="32"/>
    </row>
    <row r="58" spans="1:6" x14ac:dyDescent="0.3">
      <c r="A58" s="25" t="s">
        <v>442</v>
      </c>
      <c r="B58" s="37">
        <v>16000</v>
      </c>
      <c r="C58" s="36">
        <v>78499.8</v>
      </c>
      <c r="D58" s="28">
        <v>0.20382217534312189</v>
      </c>
      <c r="F58" s="32"/>
    </row>
    <row r="59" spans="1:6" x14ac:dyDescent="0.3">
      <c r="A59" s="25" t="s">
        <v>443</v>
      </c>
      <c r="B59" s="37">
        <v>15000</v>
      </c>
      <c r="C59" s="36">
        <v>44321</v>
      </c>
      <c r="D59" s="28">
        <v>0.33844001714762756</v>
      </c>
      <c r="F59" s="32"/>
    </row>
    <row r="60" spans="1:6" x14ac:dyDescent="0.3">
      <c r="A60" s="22" t="s">
        <v>432</v>
      </c>
      <c r="B60" s="37">
        <v>161600</v>
      </c>
      <c r="C60" s="36">
        <v>834310.8</v>
      </c>
      <c r="D60" s="28">
        <v>0.19369280608617315</v>
      </c>
      <c r="F60" s="32"/>
    </row>
    <row r="64" spans="1:6" x14ac:dyDescent="0.3">
      <c r="A64" s="21" t="s">
        <v>431</v>
      </c>
      <c r="B64" t="s">
        <v>446</v>
      </c>
      <c r="C64" t="s">
        <v>449</v>
      </c>
    </row>
    <row r="65" spans="1:3" x14ac:dyDescent="0.3">
      <c r="A65" s="22" t="s">
        <v>138</v>
      </c>
      <c r="B65" s="37">
        <v>565020</v>
      </c>
      <c r="C65" s="30">
        <v>0.96533594648700749</v>
      </c>
    </row>
    <row r="66" spans="1:3" x14ac:dyDescent="0.3">
      <c r="A66" s="22" t="s">
        <v>132</v>
      </c>
      <c r="B66" s="37">
        <v>185000</v>
      </c>
      <c r="C66" s="30">
        <v>0.96533594648700749</v>
      </c>
    </row>
    <row r="67" spans="1:3" x14ac:dyDescent="0.3">
      <c r="A67" s="22" t="s">
        <v>120</v>
      </c>
      <c r="B67" s="37">
        <v>3556.19</v>
      </c>
      <c r="C67" s="30">
        <v>0.96533594648700749</v>
      </c>
    </row>
    <row r="68" spans="1:3" x14ac:dyDescent="0.3">
      <c r="A68" s="22" t="s">
        <v>94</v>
      </c>
      <c r="B68" s="37">
        <v>85598.91</v>
      </c>
      <c r="C68" s="30">
        <v>0.96533594648700749</v>
      </c>
    </row>
    <row r="69" spans="1:3" x14ac:dyDescent="0.3">
      <c r="A69" s="22" t="s">
        <v>335</v>
      </c>
      <c r="B69" s="37">
        <v>19044</v>
      </c>
      <c r="C69" s="30">
        <v>0.96533594648700749</v>
      </c>
    </row>
    <row r="70" spans="1:3" x14ac:dyDescent="0.3">
      <c r="A70" s="22" t="s">
        <v>103</v>
      </c>
      <c r="B70" s="37">
        <v>492214.45</v>
      </c>
      <c r="C70" s="30">
        <v>0.96533594648700749</v>
      </c>
    </row>
    <row r="71" spans="1:3" x14ac:dyDescent="0.3">
      <c r="A71" s="22" t="s">
        <v>126</v>
      </c>
      <c r="B71" s="37">
        <v>161600</v>
      </c>
      <c r="C71" s="30">
        <v>0.96533594648700749</v>
      </c>
    </row>
    <row r="72" spans="1:3" x14ac:dyDescent="0.3">
      <c r="A72" s="22" t="s">
        <v>26</v>
      </c>
      <c r="B72" s="37">
        <v>1179391.8</v>
      </c>
      <c r="C72" s="30">
        <v>0.96533594648700749</v>
      </c>
    </row>
    <row r="73" spans="1:3" x14ac:dyDescent="0.3">
      <c r="A73" s="22" t="s">
        <v>90</v>
      </c>
      <c r="B73" s="37">
        <v>9967</v>
      </c>
      <c r="C73" s="30">
        <v>0.96533594648700749</v>
      </c>
    </row>
    <row r="74" spans="1:3" x14ac:dyDescent="0.3">
      <c r="A74" s="22" t="s">
        <v>121</v>
      </c>
      <c r="B74" s="37">
        <v>99653.51</v>
      </c>
      <c r="C74" s="30">
        <v>0.96533594648700749</v>
      </c>
    </row>
    <row r="75" spans="1:3" x14ac:dyDescent="0.3">
      <c r="A75" s="22" t="s">
        <v>135</v>
      </c>
      <c r="B75" s="37">
        <v>100582.19</v>
      </c>
      <c r="C75" s="30">
        <v>0.96533594648700749</v>
      </c>
    </row>
    <row r="76" spans="1:3" x14ac:dyDescent="0.3">
      <c r="A76" s="22" t="s">
        <v>432</v>
      </c>
      <c r="B76" s="37">
        <v>2901628.05</v>
      </c>
      <c r="C76" s="30">
        <v>0.96533594648700749</v>
      </c>
    </row>
    <row r="88" spans="3:3" x14ac:dyDescent="0.3">
      <c r="C88" s="3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6E91F-9ABB-43C6-8A82-1C1C0B917A3F}">
  <dimension ref="A1:F259"/>
  <sheetViews>
    <sheetView topLeftCell="A100" zoomScaleNormal="100" workbookViewId="0">
      <selection activeCell="B139" sqref="B139"/>
    </sheetView>
  </sheetViews>
  <sheetFormatPr defaultColWidth="20.44140625" defaultRowHeight="16.2" customHeight="1" x14ac:dyDescent="0.3"/>
  <cols>
    <col min="1" max="2" width="20.44140625" style="3"/>
    <col min="3" max="3" width="20.33203125" style="4" customWidth="1"/>
    <col min="4" max="4" width="26.44140625" style="4" customWidth="1"/>
    <col min="5" max="5" width="23.33203125" style="4" customWidth="1"/>
    <col min="6" max="16384" width="20.44140625" style="4"/>
  </cols>
  <sheetData>
    <row r="1" spans="1:6" ht="16.2" customHeight="1" x14ac:dyDescent="0.3">
      <c r="A1" s="1" t="s">
        <v>20</v>
      </c>
      <c r="B1" s="1" t="s">
        <v>21</v>
      </c>
      <c r="C1" s="1" t="s">
        <v>22</v>
      </c>
      <c r="D1" s="2" t="s">
        <v>8</v>
      </c>
      <c r="E1" s="2" t="s">
        <v>1</v>
      </c>
      <c r="F1" s="4" t="s">
        <v>23</v>
      </c>
    </row>
    <row r="2" spans="1:6" ht="16.2" customHeight="1" x14ac:dyDescent="0.3">
      <c r="A2" s="3" t="s">
        <v>24</v>
      </c>
      <c r="B2" s="3" t="s">
        <v>144</v>
      </c>
      <c r="C2" s="3" t="s">
        <v>144</v>
      </c>
      <c r="D2" s="4" t="s">
        <v>143</v>
      </c>
      <c r="E2" s="4" t="s">
        <v>98</v>
      </c>
      <c r="F2" s="4" t="s">
        <v>94</v>
      </c>
    </row>
    <row r="3" spans="1:6" ht="16.2" customHeight="1" x14ac:dyDescent="0.3">
      <c r="A3" s="6">
        <v>9950</v>
      </c>
      <c r="B3" s="6" t="s">
        <v>24</v>
      </c>
      <c r="C3" s="6">
        <v>9950</v>
      </c>
      <c r="D3" s="4" t="s">
        <v>320</v>
      </c>
      <c r="E3" s="4" t="s">
        <v>25</v>
      </c>
      <c r="F3" s="4" t="s">
        <v>26</v>
      </c>
    </row>
    <row r="4" spans="1:6" ht="16.2" customHeight="1" x14ac:dyDescent="0.3">
      <c r="A4" s="7">
        <v>9807</v>
      </c>
      <c r="B4" s="6" t="s">
        <v>24</v>
      </c>
      <c r="C4" s="7">
        <v>9807</v>
      </c>
      <c r="D4" s="4" t="s">
        <v>137</v>
      </c>
      <c r="E4" s="4" t="s">
        <v>136</v>
      </c>
      <c r="F4" s="4" t="s">
        <v>135</v>
      </c>
    </row>
    <row r="5" spans="1:6" ht="16.2" customHeight="1" x14ac:dyDescent="0.3">
      <c r="A5" s="7">
        <v>9619</v>
      </c>
      <c r="B5" s="6" t="s">
        <v>24</v>
      </c>
      <c r="C5" s="7">
        <v>9619</v>
      </c>
      <c r="D5" s="4" t="s">
        <v>137</v>
      </c>
      <c r="E5" s="4" t="s">
        <v>136</v>
      </c>
      <c r="F5" s="4" t="s">
        <v>135</v>
      </c>
    </row>
    <row r="6" spans="1:6" ht="16.2" customHeight="1" x14ac:dyDescent="0.3">
      <c r="A6" s="7">
        <v>9438</v>
      </c>
      <c r="B6" s="6" t="s">
        <v>24</v>
      </c>
      <c r="C6" s="7">
        <v>9438</v>
      </c>
      <c r="D6" s="4" t="s">
        <v>137</v>
      </c>
      <c r="E6" s="4" t="s">
        <v>136</v>
      </c>
      <c r="F6" s="4" t="s">
        <v>135</v>
      </c>
    </row>
    <row r="7" spans="1:6" ht="16.2" customHeight="1" x14ac:dyDescent="0.3">
      <c r="A7" s="3">
        <v>9162</v>
      </c>
      <c r="B7" s="6" t="s">
        <v>24</v>
      </c>
      <c r="C7" s="3">
        <v>9162</v>
      </c>
      <c r="D7" s="4" t="s">
        <v>27</v>
      </c>
      <c r="E7" s="4" t="s">
        <v>25</v>
      </c>
      <c r="F7" s="4" t="s">
        <v>26</v>
      </c>
    </row>
    <row r="8" spans="1:6" ht="16.2" customHeight="1" x14ac:dyDescent="0.3">
      <c r="A8" s="5">
        <v>9090</v>
      </c>
      <c r="B8" s="6" t="s">
        <v>24</v>
      </c>
      <c r="C8" s="5">
        <v>9090</v>
      </c>
      <c r="D8" s="4" t="s">
        <v>28</v>
      </c>
      <c r="E8" s="4" t="s">
        <v>25</v>
      </c>
      <c r="F8" s="4" t="s">
        <v>26</v>
      </c>
    </row>
    <row r="9" spans="1:6" ht="16.2" customHeight="1" x14ac:dyDescent="0.3">
      <c r="A9" s="5">
        <v>9032</v>
      </c>
      <c r="B9" s="6" t="s">
        <v>24</v>
      </c>
      <c r="C9" s="5">
        <v>9032</v>
      </c>
      <c r="D9" s="4" t="s">
        <v>29</v>
      </c>
      <c r="E9" s="4" t="s">
        <v>25</v>
      </c>
      <c r="F9" s="4" t="s">
        <v>26</v>
      </c>
    </row>
    <row r="10" spans="1:6" ht="16.2" customHeight="1" x14ac:dyDescent="0.3">
      <c r="A10" s="3">
        <v>8758</v>
      </c>
      <c r="B10" s="6" t="s">
        <v>24</v>
      </c>
      <c r="C10" s="3">
        <v>8758</v>
      </c>
      <c r="D10" s="4" t="s">
        <v>30</v>
      </c>
      <c r="E10" s="4" t="s">
        <v>25</v>
      </c>
      <c r="F10" s="4" t="s">
        <v>26</v>
      </c>
    </row>
    <row r="11" spans="1:6" ht="16.2" customHeight="1" x14ac:dyDescent="0.3">
      <c r="A11" s="3">
        <v>8652</v>
      </c>
      <c r="B11" s="6" t="s">
        <v>24</v>
      </c>
      <c r="C11" s="3">
        <v>8652</v>
      </c>
      <c r="D11" s="4" t="s">
        <v>318</v>
      </c>
      <c r="E11" s="4" t="s">
        <v>319</v>
      </c>
      <c r="F11" s="4" t="s">
        <v>90</v>
      </c>
    </row>
    <row r="12" spans="1:6" ht="16.2" customHeight="1" x14ac:dyDescent="0.3">
      <c r="A12" s="7">
        <v>8562</v>
      </c>
      <c r="B12" s="6" t="s">
        <v>24</v>
      </c>
      <c r="C12" s="7">
        <v>8562</v>
      </c>
      <c r="D12" s="4" t="s">
        <v>137</v>
      </c>
      <c r="E12" s="4" t="s">
        <v>136</v>
      </c>
      <c r="F12" s="4" t="s">
        <v>135</v>
      </c>
    </row>
    <row r="13" spans="1:6" ht="16.2" customHeight="1" x14ac:dyDescent="0.3">
      <c r="A13" s="3">
        <v>8497</v>
      </c>
      <c r="B13" s="6" t="s">
        <v>24</v>
      </c>
      <c r="C13" s="3">
        <v>8497</v>
      </c>
      <c r="D13" s="4" t="s">
        <v>31</v>
      </c>
      <c r="E13" s="4" t="s">
        <v>25</v>
      </c>
      <c r="F13" s="4" t="s">
        <v>26</v>
      </c>
    </row>
    <row r="14" spans="1:6" ht="16.2" customHeight="1" x14ac:dyDescent="0.3">
      <c r="A14" s="7">
        <v>8306</v>
      </c>
      <c r="B14" s="6" t="s">
        <v>24</v>
      </c>
      <c r="C14" s="7">
        <v>8306</v>
      </c>
      <c r="D14" s="4" t="s">
        <v>137</v>
      </c>
      <c r="E14" s="4" t="s">
        <v>136</v>
      </c>
      <c r="F14" s="4" t="s">
        <v>135</v>
      </c>
    </row>
    <row r="15" spans="1:6" ht="16.2" customHeight="1" x14ac:dyDescent="0.3">
      <c r="A15" s="3">
        <v>8072</v>
      </c>
      <c r="B15" s="6" t="s">
        <v>24</v>
      </c>
      <c r="C15" s="3">
        <v>8072</v>
      </c>
      <c r="D15" s="4" t="s">
        <v>32</v>
      </c>
      <c r="E15" s="4" t="s">
        <v>25</v>
      </c>
      <c r="F15" s="4" t="s">
        <v>26</v>
      </c>
    </row>
    <row r="16" spans="1:6" ht="16.2" customHeight="1" x14ac:dyDescent="0.3">
      <c r="A16" s="5">
        <v>7910</v>
      </c>
      <c r="B16" s="6" t="s">
        <v>24</v>
      </c>
      <c r="C16" s="5">
        <v>7910</v>
      </c>
      <c r="D16" s="4" t="s">
        <v>33</v>
      </c>
      <c r="E16" s="4" t="s">
        <v>25</v>
      </c>
      <c r="F16" s="4" t="s">
        <v>26</v>
      </c>
    </row>
    <row r="17" spans="1:6" ht="16.2" customHeight="1" x14ac:dyDescent="0.3">
      <c r="A17" s="5">
        <v>7904</v>
      </c>
      <c r="B17" s="6" t="s">
        <v>24</v>
      </c>
      <c r="C17" s="5">
        <v>7904</v>
      </c>
      <c r="D17" s="4" t="s">
        <v>34</v>
      </c>
      <c r="E17" s="4" t="s">
        <v>25</v>
      </c>
      <c r="F17" s="4" t="s">
        <v>26</v>
      </c>
    </row>
    <row r="18" spans="1:6" ht="16.2" customHeight="1" x14ac:dyDescent="0.3">
      <c r="A18" s="3">
        <v>7903</v>
      </c>
      <c r="B18" s="6" t="s">
        <v>24</v>
      </c>
      <c r="C18" s="3">
        <v>7903</v>
      </c>
      <c r="D18" s="4" t="s">
        <v>35</v>
      </c>
      <c r="E18" s="4" t="s">
        <v>25</v>
      </c>
      <c r="F18" s="4" t="s">
        <v>26</v>
      </c>
    </row>
    <row r="19" spans="1:6" ht="16.2" customHeight="1" x14ac:dyDescent="0.3">
      <c r="A19" s="7">
        <v>7862</v>
      </c>
      <c r="B19" s="6" t="s">
        <v>24</v>
      </c>
      <c r="C19" s="7">
        <v>7862</v>
      </c>
      <c r="D19" s="4" t="s">
        <v>137</v>
      </c>
      <c r="E19" s="4" t="s">
        <v>136</v>
      </c>
      <c r="F19" s="4" t="s">
        <v>135</v>
      </c>
    </row>
    <row r="20" spans="1:6" ht="16.2" customHeight="1" x14ac:dyDescent="0.3">
      <c r="A20" s="3">
        <v>7586</v>
      </c>
      <c r="B20" s="6" t="s">
        <v>24</v>
      </c>
      <c r="C20" s="3">
        <v>7586</v>
      </c>
      <c r="D20" s="4" t="s">
        <v>36</v>
      </c>
      <c r="E20" s="4" t="s">
        <v>25</v>
      </c>
      <c r="F20" s="4" t="s">
        <v>26</v>
      </c>
    </row>
    <row r="21" spans="1:6" ht="16.2" customHeight="1" x14ac:dyDescent="0.3">
      <c r="A21" s="3">
        <v>7585</v>
      </c>
      <c r="B21" s="6" t="s">
        <v>24</v>
      </c>
      <c r="C21" s="3">
        <v>7585</v>
      </c>
      <c r="D21" s="4" t="s">
        <v>37</v>
      </c>
      <c r="E21" s="4" t="s">
        <v>25</v>
      </c>
      <c r="F21" s="4" t="s">
        <v>26</v>
      </c>
    </row>
    <row r="22" spans="1:6" ht="16.2" customHeight="1" x14ac:dyDescent="0.3">
      <c r="A22" s="5">
        <v>7507</v>
      </c>
      <c r="B22" s="6" t="s">
        <v>24</v>
      </c>
      <c r="C22" s="5">
        <v>7507</v>
      </c>
      <c r="D22" s="4" t="s">
        <v>38</v>
      </c>
      <c r="E22" s="4" t="s">
        <v>25</v>
      </c>
      <c r="F22" s="4" t="s">
        <v>26</v>
      </c>
    </row>
    <row r="23" spans="1:6" ht="16.2" customHeight="1" x14ac:dyDescent="0.3">
      <c r="A23" s="3">
        <v>7479</v>
      </c>
      <c r="B23" s="6" t="s">
        <v>24</v>
      </c>
      <c r="C23" s="3">
        <v>7479</v>
      </c>
      <c r="D23" s="4" t="s">
        <v>39</v>
      </c>
      <c r="E23" s="4" t="s">
        <v>25</v>
      </c>
      <c r="F23" s="4" t="s">
        <v>26</v>
      </c>
    </row>
    <row r="24" spans="1:6" ht="16.2" customHeight="1" x14ac:dyDescent="0.3">
      <c r="A24" s="3">
        <v>7436</v>
      </c>
      <c r="B24" s="6" t="s">
        <v>24</v>
      </c>
      <c r="C24" s="3">
        <v>7436</v>
      </c>
      <c r="D24" s="4" t="s">
        <v>40</v>
      </c>
      <c r="E24" s="4" t="s">
        <v>25</v>
      </c>
      <c r="F24" s="4" t="s">
        <v>26</v>
      </c>
    </row>
    <row r="25" spans="1:6" ht="16.2" customHeight="1" x14ac:dyDescent="0.3">
      <c r="A25" s="7">
        <v>7340</v>
      </c>
      <c r="B25" s="6" t="s">
        <v>24</v>
      </c>
      <c r="C25" s="7">
        <v>7340</v>
      </c>
      <c r="D25" s="4" t="s">
        <v>137</v>
      </c>
      <c r="E25" s="4" t="s">
        <v>136</v>
      </c>
      <c r="F25" s="4" t="s">
        <v>135</v>
      </c>
    </row>
    <row r="26" spans="1:6" ht="16.2" customHeight="1" x14ac:dyDescent="0.3">
      <c r="A26" s="3">
        <v>7336</v>
      </c>
      <c r="B26" s="6" t="s">
        <v>24</v>
      </c>
      <c r="C26" s="3">
        <v>7336</v>
      </c>
      <c r="D26" s="4" t="s">
        <v>41</v>
      </c>
      <c r="E26" s="4" t="s">
        <v>25</v>
      </c>
      <c r="F26" s="4" t="s">
        <v>26</v>
      </c>
    </row>
    <row r="27" spans="1:6" ht="16.2" customHeight="1" x14ac:dyDescent="0.3">
      <c r="A27" s="3">
        <v>7310</v>
      </c>
      <c r="B27" s="6" t="s">
        <v>24</v>
      </c>
      <c r="C27" s="3">
        <v>7310</v>
      </c>
      <c r="D27" s="4" t="s">
        <v>42</v>
      </c>
      <c r="E27" s="4" t="s">
        <v>25</v>
      </c>
      <c r="F27" s="4" t="s">
        <v>26</v>
      </c>
    </row>
    <row r="28" spans="1:6" ht="16.2" customHeight="1" x14ac:dyDescent="0.3">
      <c r="A28" s="3">
        <v>7276</v>
      </c>
      <c r="B28" s="6" t="s">
        <v>24</v>
      </c>
      <c r="C28" s="3">
        <v>7276</v>
      </c>
      <c r="D28" s="4" t="s">
        <v>43</v>
      </c>
      <c r="E28" s="4" t="s">
        <v>25</v>
      </c>
      <c r="F28" s="4" t="s">
        <v>26</v>
      </c>
    </row>
    <row r="29" spans="1:6" ht="16.2" customHeight="1" x14ac:dyDescent="0.3">
      <c r="A29" s="7">
        <v>7269</v>
      </c>
      <c r="B29" s="6" t="s">
        <v>24</v>
      </c>
      <c r="C29" s="7">
        <v>7269</v>
      </c>
      <c r="D29" s="4" t="s">
        <v>137</v>
      </c>
      <c r="E29" s="4" t="s">
        <v>136</v>
      </c>
      <c r="F29" s="4" t="s">
        <v>135</v>
      </c>
    </row>
    <row r="30" spans="1:6" ht="16.2" customHeight="1" x14ac:dyDescent="0.3">
      <c r="A30" s="5">
        <v>7261</v>
      </c>
      <c r="B30" s="6" t="s">
        <v>24</v>
      </c>
      <c r="C30" s="5">
        <v>7261</v>
      </c>
      <c r="D30" s="4" t="s">
        <v>321</v>
      </c>
      <c r="E30" s="4" t="s">
        <v>25</v>
      </c>
      <c r="F30" s="4" t="s">
        <v>26</v>
      </c>
    </row>
    <row r="31" spans="1:6" ht="16.2" customHeight="1" x14ac:dyDescent="0.3">
      <c r="A31" s="3">
        <v>7133</v>
      </c>
      <c r="B31" s="6" t="s">
        <v>24</v>
      </c>
      <c r="C31" s="3">
        <v>7133</v>
      </c>
      <c r="D31" s="4" t="s">
        <v>44</v>
      </c>
      <c r="E31" s="4" t="s">
        <v>25</v>
      </c>
      <c r="F31" s="4" t="s">
        <v>26</v>
      </c>
    </row>
    <row r="32" spans="1:6" ht="16.2" customHeight="1" x14ac:dyDescent="0.3">
      <c r="A32" s="5">
        <v>7096</v>
      </c>
      <c r="B32" s="6" t="s">
        <v>24</v>
      </c>
      <c r="C32" s="5">
        <v>7096</v>
      </c>
      <c r="D32" s="4" t="s">
        <v>45</v>
      </c>
      <c r="E32" s="4" t="s">
        <v>25</v>
      </c>
      <c r="F32" s="4" t="s">
        <v>26</v>
      </c>
    </row>
    <row r="33" spans="1:6" ht="16.2" customHeight="1" x14ac:dyDescent="0.3">
      <c r="A33" s="7">
        <v>7031</v>
      </c>
      <c r="B33" s="6" t="s">
        <v>24</v>
      </c>
      <c r="C33" s="7">
        <v>7031</v>
      </c>
      <c r="D33" s="4" t="s">
        <v>137</v>
      </c>
      <c r="E33" s="4" t="s">
        <v>136</v>
      </c>
      <c r="F33" s="4" t="s">
        <v>135</v>
      </c>
    </row>
    <row r="34" spans="1:6" ht="16.2" customHeight="1" x14ac:dyDescent="0.3">
      <c r="A34" s="7">
        <v>7018</v>
      </c>
      <c r="B34" s="6" t="s">
        <v>24</v>
      </c>
      <c r="C34" s="7">
        <v>7018</v>
      </c>
      <c r="D34" s="4" t="s">
        <v>137</v>
      </c>
      <c r="E34" s="4" t="s">
        <v>136</v>
      </c>
      <c r="F34" s="4" t="s">
        <v>135</v>
      </c>
    </row>
    <row r="35" spans="1:6" ht="16.2" customHeight="1" x14ac:dyDescent="0.3">
      <c r="A35" s="1">
        <v>6977</v>
      </c>
      <c r="B35" s="6" t="s">
        <v>24</v>
      </c>
      <c r="C35" s="1">
        <v>6977</v>
      </c>
      <c r="D35" s="4" t="s">
        <v>46</v>
      </c>
      <c r="E35" s="4" t="s">
        <v>25</v>
      </c>
      <c r="F35" s="4" t="s">
        <v>26</v>
      </c>
    </row>
    <row r="36" spans="1:6" ht="16.2" customHeight="1" x14ac:dyDescent="0.3">
      <c r="A36" s="7">
        <v>6811</v>
      </c>
      <c r="B36" s="6" t="s">
        <v>24</v>
      </c>
      <c r="C36" s="7">
        <v>6811</v>
      </c>
      <c r="D36" s="4" t="s">
        <v>137</v>
      </c>
      <c r="E36" s="4" t="s">
        <v>136</v>
      </c>
      <c r="F36" s="4" t="s">
        <v>135</v>
      </c>
    </row>
    <row r="37" spans="1:6" ht="16.2" customHeight="1" x14ac:dyDescent="0.3">
      <c r="A37" s="3">
        <v>6807</v>
      </c>
      <c r="B37" s="6" t="s">
        <v>24</v>
      </c>
      <c r="C37" s="3">
        <v>6807</v>
      </c>
      <c r="D37" s="4" t="s">
        <v>47</v>
      </c>
      <c r="E37" s="4" t="s">
        <v>25</v>
      </c>
      <c r="F37" s="4" t="s">
        <v>26</v>
      </c>
    </row>
    <row r="38" spans="1:6" ht="16.2" customHeight="1" x14ac:dyDescent="0.3">
      <c r="A38" s="3">
        <v>6746</v>
      </c>
      <c r="B38" s="6" t="s">
        <v>24</v>
      </c>
      <c r="C38" s="3">
        <v>6746</v>
      </c>
      <c r="D38" s="4" t="s">
        <v>48</v>
      </c>
      <c r="E38" s="4" t="s">
        <v>25</v>
      </c>
      <c r="F38" s="4" t="s">
        <v>26</v>
      </c>
    </row>
    <row r="39" spans="1:6" ht="16.2" customHeight="1" x14ac:dyDescent="0.3">
      <c r="A39" s="7">
        <v>6673</v>
      </c>
      <c r="B39" s="6" t="s">
        <v>24</v>
      </c>
      <c r="C39" s="7">
        <v>6673</v>
      </c>
      <c r="D39" s="4" t="s">
        <v>137</v>
      </c>
      <c r="E39" s="4" t="s">
        <v>136</v>
      </c>
      <c r="F39" s="4" t="s">
        <v>135</v>
      </c>
    </row>
    <row r="40" spans="1:6" ht="16.2" customHeight="1" x14ac:dyDescent="0.3">
      <c r="A40" s="7">
        <v>6575</v>
      </c>
      <c r="B40" s="6" t="s">
        <v>24</v>
      </c>
      <c r="C40" s="7">
        <v>6575</v>
      </c>
      <c r="D40" s="4" t="s">
        <v>137</v>
      </c>
      <c r="E40" s="4" t="s">
        <v>136</v>
      </c>
      <c r="F40" s="4" t="s">
        <v>135</v>
      </c>
    </row>
    <row r="41" spans="1:6" ht="16.2" customHeight="1" x14ac:dyDescent="0.3">
      <c r="A41" s="7">
        <v>6480</v>
      </c>
      <c r="B41" s="6" t="s">
        <v>24</v>
      </c>
      <c r="C41" s="7">
        <v>6480</v>
      </c>
      <c r="D41" s="4" t="s">
        <v>137</v>
      </c>
      <c r="E41" s="4" t="s">
        <v>136</v>
      </c>
      <c r="F41" s="4" t="s">
        <v>135</v>
      </c>
    </row>
    <row r="42" spans="1:6" ht="16.2" customHeight="1" x14ac:dyDescent="0.3">
      <c r="A42" s="7">
        <v>6473</v>
      </c>
      <c r="B42" s="6" t="s">
        <v>24</v>
      </c>
      <c r="C42" s="7">
        <v>6473</v>
      </c>
      <c r="D42" s="4" t="s">
        <v>137</v>
      </c>
      <c r="E42" s="4" t="s">
        <v>136</v>
      </c>
      <c r="F42" s="4" t="s">
        <v>135</v>
      </c>
    </row>
    <row r="43" spans="1:6" ht="16.2" customHeight="1" x14ac:dyDescent="0.3">
      <c r="A43" s="7">
        <v>6425</v>
      </c>
      <c r="B43" s="6" t="s">
        <v>24</v>
      </c>
      <c r="C43" s="7">
        <v>6425</v>
      </c>
      <c r="D43" s="4" t="s">
        <v>137</v>
      </c>
      <c r="E43" s="4" t="s">
        <v>136</v>
      </c>
      <c r="F43" s="4" t="s">
        <v>135</v>
      </c>
    </row>
    <row r="44" spans="1:6" ht="16.2" customHeight="1" x14ac:dyDescent="0.3">
      <c r="A44" s="3">
        <v>6406</v>
      </c>
      <c r="B44" s="6" t="s">
        <v>24</v>
      </c>
      <c r="C44" s="3">
        <v>6406</v>
      </c>
      <c r="D44" s="4" t="s">
        <v>49</v>
      </c>
      <c r="E44" s="4" t="s">
        <v>25</v>
      </c>
      <c r="F44" s="4" t="s">
        <v>26</v>
      </c>
    </row>
    <row r="45" spans="1:6" ht="16.2" customHeight="1" x14ac:dyDescent="0.3">
      <c r="A45" s="3">
        <v>6194</v>
      </c>
      <c r="B45" s="6" t="s">
        <v>24</v>
      </c>
      <c r="C45" s="3">
        <v>6194</v>
      </c>
      <c r="D45" s="4" t="s">
        <v>50</v>
      </c>
      <c r="E45" s="4" t="s">
        <v>25</v>
      </c>
      <c r="F45" s="4" t="s">
        <v>26</v>
      </c>
    </row>
    <row r="46" spans="1:6" ht="16.2" customHeight="1" x14ac:dyDescent="0.3">
      <c r="A46" s="3">
        <v>6170</v>
      </c>
      <c r="B46" s="6" t="s">
        <v>24</v>
      </c>
      <c r="C46" s="3">
        <v>6170</v>
      </c>
      <c r="D46" s="4" t="s">
        <v>51</v>
      </c>
      <c r="E46" s="4" t="s">
        <v>25</v>
      </c>
      <c r="F46" s="4" t="s">
        <v>26</v>
      </c>
    </row>
    <row r="47" spans="1:6" ht="16.2" customHeight="1" x14ac:dyDescent="0.3">
      <c r="A47" s="3">
        <v>6119</v>
      </c>
      <c r="B47" s="6" t="s">
        <v>24</v>
      </c>
      <c r="C47" s="3">
        <v>6119</v>
      </c>
      <c r="D47" s="4" t="s">
        <v>52</v>
      </c>
      <c r="E47" s="4" t="s">
        <v>25</v>
      </c>
      <c r="F47" s="4" t="s">
        <v>26</v>
      </c>
    </row>
    <row r="48" spans="1:6" ht="16.2" customHeight="1" x14ac:dyDescent="0.3">
      <c r="A48" s="3">
        <v>6115</v>
      </c>
      <c r="B48" s="1" t="s">
        <v>53</v>
      </c>
      <c r="C48" s="3" t="s">
        <v>53</v>
      </c>
      <c r="D48" s="2" t="s">
        <v>54</v>
      </c>
      <c r="E48" s="4" t="s">
        <v>25</v>
      </c>
      <c r="F48" s="4" t="s">
        <v>26</v>
      </c>
    </row>
    <row r="49" spans="1:6" ht="16.2" customHeight="1" x14ac:dyDescent="0.3">
      <c r="A49" s="3">
        <v>6009</v>
      </c>
      <c r="B49" s="6" t="s">
        <v>24</v>
      </c>
      <c r="C49" s="3">
        <v>6009</v>
      </c>
      <c r="D49" s="4" t="s">
        <v>55</v>
      </c>
      <c r="E49" s="4" t="s">
        <v>25</v>
      </c>
      <c r="F49" s="4" t="s">
        <v>26</v>
      </c>
    </row>
    <row r="50" spans="1:6" ht="16.2" customHeight="1" x14ac:dyDescent="0.3">
      <c r="A50" s="7">
        <v>5988</v>
      </c>
      <c r="B50" s="6" t="s">
        <v>24</v>
      </c>
      <c r="C50" s="7">
        <v>5988</v>
      </c>
      <c r="D50" s="4" t="s">
        <v>137</v>
      </c>
      <c r="E50" s="4" t="s">
        <v>136</v>
      </c>
      <c r="F50" s="4" t="s">
        <v>135</v>
      </c>
    </row>
    <row r="51" spans="1:6" ht="16.2" customHeight="1" x14ac:dyDescent="0.3">
      <c r="A51" s="5">
        <v>5854</v>
      </c>
      <c r="B51" s="6" t="s">
        <v>24</v>
      </c>
      <c r="C51" s="5">
        <v>5854</v>
      </c>
      <c r="D51" s="4" t="s">
        <v>56</v>
      </c>
      <c r="E51" s="4" t="s">
        <v>25</v>
      </c>
      <c r="F51" s="4" t="s">
        <v>26</v>
      </c>
    </row>
    <row r="52" spans="1:6" ht="16.2" customHeight="1" x14ac:dyDescent="0.3">
      <c r="A52" s="3">
        <v>5791</v>
      </c>
      <c r="B52" s="6" t="s">
        <v>24</v>
      </c>
      <c r="C52" s="3">
        <v>5791</v>
      </c>
      <c r="D52" s="4" t="s">
        <v>19</v>
      </c>
      <c r="E52" s="4" t="s">
        <v>25</v>
      </c>
      <c r="F52" s="4" t="s">
        <v>26</v>
      </c>
    </row>
    <row r="53" spans="1:6" ht="16.2" customHeight="1" x14ac:dyDescent="0.3">
      <c r="A53" s="7">
        <v>5780</v>
      </c>
      <c r="B53" s="6" t="s">
        <v>24</v>
      </c>
      <c r="C53" s="7">
        <v>5780</v>
      </c>
      <c r="D53" s="4" t="s">
        <v>137</v>
      </c>
      <c r="E53" s="4" t="s">
        <v>136</v>
      </c>
      <c r="F53" s="4" t="s">
        <v>135</v>
      </c>
    </row>
    <row r="54" spans="1:6" ht="16.2" customHeight="1" x14ac:dyDescent="0.3">
      <c r="A54" s="5">
        <v>5763</v>
      </c>
      <c r="B54" s="6" t="s">
        <v>57</v>
      </c>
      <c r="C54" s="5">
        <v>5763</v>
      </c>
      <c r="D54" s="4" t="s">
        <v>58</v>
      </c>
      <c r="E54" s="4" t="s">
        <v>25</v>
      </c>
      <c r="F54" s="4" t="s">
        <v>26</v>
      </c>
    </row>
    <row r="55" spans="1:6" ht="16.2" customHeight="1" x14ac:dyDescent="0.3">
      <c r="A55" s="7">
        <v>5715</v>
      </c>
      <c r="B55" s="6" t="s">
        <v>24</v>
      </c>
      <c r="C55" s="7">
        <v>5715</v>
      </c>
      <c r="D55" s="4" t="s">
        <v>137</v>
      </c>
      <c r="E55" s="4" t="s">
        <v>136</v>
      </c>
      <c r="F55" s="4" t="s">
        <v>135</v>
      </c>
    </row>
    <row r="56" spans="1:6" ht="16.2" customHeight="1" x14ac:dyDescent="0.3">
      <c r="A56" s="3">
        <v>5680</v>
      </c>
      <c r="B56" s="6" t="s">
        <v>24</v>
      </c>
      <c r="C56" s="3">
        <v>5680</v>
      </c>
      <c r="D56" s="4" t="s">
        <v>59</v>
      </c>
      <c r="E56" s="4" t="s">
        <v>25</v>
      </c>
      <c r="F56" s="4" t="s">
        <v>26</v>
      </c>
    </row>
    <row r="57" spans="1:6" ht="16.2" customHeight="1" x14ac:dyDescent="0.3">
      <c r="A57" s="5">
        <v>5672</v>
      </c>
      <c r="B57" s="6" t="s">
        <v>24</v>
      </c>
      <c r="C57" s="5">
        <v>5672</v>
      </c>
      <c r="D57" s="4" t="s">
        <v>60</v>
      </c>
      <c r="E57" s="4" t="s">
        <v>25</v>
      </c>
      <c r="F57" s="4" t="s">
        <v>26</v>
      </c>
    </row>
    <row r="58" spans="1:6" ht="16.2" customHeight="1" x14ac:dyDescent="0.3">
      <c r="A58" s="5">
        <v>5572</v>
      </c>
      <c r="B58" s="6" t="s">
        <v>24</v>
      </c>
      <c r="C58" s="5">
        <v>5572</v>
      </c>
      <c r="D58" s="4" t="s">
        <v>61</v>
      </c>
      <c r="E58" s="4" t="s">
        <v>25</v>
      </c>
      <c r="F58" s="4" t="s">
        <v>26</v>
      </c>
    </row>
    <row r="59" spans="1:6" ht="16.2" customHeight="1" x14ac:dyDescent="0.3">
      <c r="A59" s="3">
        <v>5340</v>
      </c>
      <c r="B59" s="6" t="s">
        <v>24</v>
      </c>
      <c r="C59" s="3">
        <v>5340</v>
      </c>
      <c r="D59" s="4" t="s">
        <v>62</v>
      </c>
      <c r="E59" s="4" t="s">
        <v>25</v>
      </c>
      <c r="F59" s="4" t="s">
        <v>26</v>
      </c>
    </row>
    <row r="60" spans="1:6" ht="16.2" customHeight="1" x14ac:dyDescent="0.3">
      <c r="A60" s="7">
        <v>5125</v>
      </c>
      <c r="B60" s="6" t="s">
        <v>24</v>
      </c>
      <c r="C60" s="7">
        <v>5125</v>
      </c>
      <c r="D60" s="4" t="s">
        <v>137</v>
      </c>
      <c r="E60" s="4" t="s">
        <v>136</v>
      </c>
      <c r="F60" s="4" t="s">
        <v>135</v>
      </c>
    </row>
    <row r="61" spans="1:6" ht="16.2" customHeight="1" x14ac:dyDescent="0.3">
      <c r="A61" s="3">
        <v>5097</v>
      </c>
      <c r="B61" s="6" t="s">
        <v>24</v>
      </c>
      <c r="C61" s="3">
        <v>5097</v>
      </c>
      <c r="D61" s="4" t="s">
        <v>63</v>
      </c>
      <c r="E61" s="4" t="s">
        <v>25</v>
      </c>
      <c r="F61" s="4" t="s">
        <v>26</v>
      </c>
    </row>
    <row r="62" spans="1:6" ht="16.2" customHeight="1" x14ac:dyDescent="0.3">
      <c r="A62" s="3">
        <v>5075</v>
      </c>
      <c r="B62" s="6" t="s">
        <v>24</v>
      </c>
      <c r="C62" s="3">
        <v>5075</v>
      </c>
      <c r="D62" s="4" t="s">
        <v>64</v>
      </c>
      <c r="E62" s="4" t="s">
        <v>25</v>
      </c>
      <c r="F62" s="4" t="s">
        <v>26</v>
      </c>
    </row>
    <row r="63" spans="1:6" ht="16.2" customHeight="1" x14ac:dyDescent="0.3">
      <c r="A63" s="7">
        <v>5003</v>
      </c>
      <c r="B63" s="6" t="s">
        <v>24</v>
      </c>
      <c r="C63" s="7">
        <v>5003</v>
      </c>
      <c r="D63" s="4" t="s">
        <v>137</v>
      </c>
      <c r="E63" s="4" t="s">
        <v>136</v>
      </c>
      <c r="F63" s="4" t="s">
        <v>135</v>
      </c>
    </row>
    <row r="64" spans="1:6" ht="16.2" customHeight="1" x14ac:dyDescent="0.3">
      <c r="A64" s="3">
        <v>4969</v>
      </c>
      <c r="B64" s="6" t="s">
        <v>24</v>
      </c>
      <c r="C64" s="3">
        <v>4969</v>
      </c>
      <c r="D64" s="4" t="s">
        <v>318</v>
      </c>
      <c r="E64" s="4" t="s">
        <v>319</v>
      </c>
      <c r="F64" s="4" t="s">
        <v>90</v>
      </c>
    </row>
    <row r="65" spans="1:6" ht="16.2" customHeight="1" x14ac:dyDescent="0.3">
      <c r="A65" s="3">
        <v>4758</v>
      </c>
      <c r="B65" s="6" t="s">
        <v>24</v>
      </c>
      <c r="C65" s="3">
        <v>4758</v>
      </c>
      <c r="D65" s="4" t="s">
        <v>65</v>
      </c>
      <c r="E65" s="4" t="s">
        <v>25</v>
      </c>
      <c r="F65" s="4" t="s">
        <v>26</v>
      </c>
    </row>
    <row r="66" spans="1:6" ht="16.2" customHeight="1" x14ac:dyDescent="0.3">
      <c r="A66" s="7">
        <v>4709</v>
      </c>
      <c r="B66" s="6" t="s">
        <v>24</v>
      </c>
      <c r="C66" s="7">
        <v>4709</v>
      </c>
      <c r="D66" s="4" t="s">
        <v>137</v>
      </c>
      <c r="E66" s="4" t="s">
        <v>136</v>
      </c>
      <c r="F66" s="4" t="s">
        <v>135</v>
      </c>
    </row>
    <row r="67" spans="1:6" ht="16.2" customHeight="1" x14ac:dyDescent="0.3">
      <c r="A67" s="1">
        <v>4690</v>
      </c>
      <c r="B67" s="6" t="s">
        <v>106</v>
      </c>
      <c r="C67" s="1">
        <v>4690</v>
      </c>
      <c r="D67" s="2" t="s">
        <v>142</v>
      </c>
      <c r="E67" s="4" t="s">
        <v>105</v>
      </c>
      <c r="F67" s="4" t="s">
        <v>335</v>
      </c>
    </row>
    <row r="68" spans="1:6" ht="16.2" customHeight="1" x14ac:dyDescent="0.3">
      <c r="A68" s="7">
        <v>4639</v>
      </c>
      <c r="B68" s="6" t="s">
        <v>24</v>
      </c>
      <c r="C68" s="7">
        <v>4639</v>
      </c>
      <c r="D68" s="4" t="s">
        <v>137</v>
      </c>
      <c r="E68" s="4" t="s">
        <v>136</v>
      </c>
      <c r="F68" s="4" t="s">
        <v>135</v>
      </c>
    </row>
    <row r="69" spans="1:6" ht="16.2" customHeight="1" x14ac:dyDescent="0.3">
      <c r="A69" s="1">
        <v>4637</v>
      </c>
      <c r="B69" s="6" t="s">
        <v>24</v>
      </c>
      <c r="C69" s="1">
        <v>4637</v>
      </c>
      <c r="D69" s="2" t="s">
        <v>66</v>
      </c>
      <c r="E69" s="4" t="s">
        <v>25</v>
      </c>
      <c r="F69" s="4" t="s">
        <v>26</v>
      </c>
    </row>
    <row r="70" spans="1:6" ht="16.2" customHeight="1" x14ac:dyDescent="0.3">
      <c r="A70" s="3">
        <v>4595</v>
      </c>
      <c r="B70" s="6" t="s">
        <v>24</v>
      </c>
      <c r="C70" s="3">
        <v>4595</v>
      </c>
      <c r="D70" s="4" t="s">
        <v>67</v>
      </c>
      <c r="E70" s="4" t="s">
        <v>25</v>
      </c>
      <c r="F70" s="4" t="s">
        <v>26</v>
      </c>
    </row>
    <row r="71" spans="1:6" ht="16.2" customHeight="1" x14ac:dyDescent="0.3">
      <c r="A71" s="5">
        <v>4530</v>
      </c>
      <c r="B71" s="6" t="s">
        <v>24</v>
      </c>
      <c r="C71" s="5">
        <v>4530</v>
      </c>
      <c r="D71" s="4" t="s">
        <v>141</v>
      </c>
      <c r="E71" s="4" t="s">
        <v>139</v>
      </c>
      <c r="F71" s="4" t="s">
        <v>26</v>
      </c>
    </row>
    <row r="72" spans="1:6" ht="16.2" customHeight="1" x14ac:dyDescent="0.3">
      <c r="A72" s="3">
        <v>4494</v>
      </c>
      <c r="B72" s="6" t="s">
        <v>24</v>
      </c>
      <c r="C72" s="3">
        <v>4494</v>
      </c>
      <c r="D72" s="4" t="s">
        <v>68</v>
      </c>
      <c r="E72" s="4" t="s">
        <v>25</v>
      </c>
      <c r="F72" s="4" t="s">
        <v>26</v>
      </c>
    </row>
    <row r="73" spans="1:6" ht="16.2" customHeight="1" x14ac:dyDescent="0.3">
      <c r="A73" s="3">
        <v>4360</v>
      </c>
      <c r="B73" s="6" t="s">
        <v>24</v>
      </c>
      <c r="C73" s="3">
        <v>4360</v>
      </c>
      <c r="D73" s="4" t="s">
        <v>69</v>
      </c>
      <c r="E73" s="4" t="s">
        <v>25</v>
      </c>
      <c r="F73" s="4" t="s">
        <v>26</v>
      </c>
    </row>
    <row r="74" spans="1:6" ht="16.2" customHeight="1" x14ac:dyDescent="0.3">
      <c r="A74" s="7">
        <v>4332</v>
      </c>
      <c r="B74" s="6" t="s">
        <v>24</v>
      </c>
      <c r="C74" s="7">
        <v>4332</v>
      </c>
      <c r="D74" s="4" t="s">
        <v>137</v>
      </c>
      <c r="E74" s="4" t="s">
        <v>136</v>
      </c>
      <c r="F74" s="4" t="s">
        <v>135</v>
      </c>
    </row>
    <row r="75" spans="1:6" ht="16.2" customHeight="1" x14ac:dyDescent="0.3">
      <c r="A75" s="7">
        <v>4210</v>
      </c>
      <c r="B75" s="6" t="s">
        <v>24</v>
      </c>
      <c r="C75" s="7">
        <v>4210</v>
      </c>
      <c r="D75" s="4" t="s">
        <v>137</v>
      </c>
      <c r="E75" s="4" t="s">
        <v>136</v>
      </c>
      <c r="F75" s="4" t="s">
        <v>135</v>
      </c>
    </row>
    <row r="76" spans="1:6" ht="16.2" customHeight="1" x14ac:dyDescent="0.3">
      <c r="A76" s="7">
        <v>4107</v>
      </c>
      <c r="B76" s="6" t="s">
        <v>24</v>
      </c>
      <c r="C76" s="7">
        <v>4107</v>
      </c>
      <c r="D76" s="4" t="s">
        <v>137</v>
      </c>
      <c r="E76" s="4" t="s">
        <v>136</v>
      </c>
      <c r="F76" s="4" t="s">
        <v>135</v>
      </c>
    </row>
    <row r="77" spans="1:6" ht="16.2" customHeight="1" x14ac:dyDescent="0.3">
      <c r="A77" s="5">
        <v>4085</v>
      </c>
      <c r="B77" s="6" t="s">
        <v>24</v>
      </c>
      <c r="C77" s="5">
        <v>4085</v>
      </c>
      <c r="D77" s="4" t="s">
        <v>70</v>
      </c>
      <c r="E77" s="4" t="s">
        <v>25</v>
      </c>
      <c r="F77" s="4" t="s">
        <v>26</v>
      </c>
    </row>
    <row r="78" spans="1:6" ht="16.2" customHeight="1" x14ac:dyDescent="0.3">
      <c r="A78" s="3">
        <v>4016</v>
      </c>
      <c r="B78" s="6" t="s">
        <v>24</v>
      </c>
      <c r="C78" s="3">
        <v>4016</v>
      </c>
      <c r="D78" s="4" t="s">
        <v>71</v>
      </c>
      <c r="E78" s="4" t="s">
        <v>25</v>
      </c>
      <c r="F78" s="4" t="s">
        <v>26</v>
      </c>
    </row>
    <row r="79" spans="1:6" ht="16.2" customHeight="1" x14ac:dyDescent="0.3">
      <c r="A79" s="3">
        <v>3992</v>
      </c>
      <c r="B79" s="6" t="s">
        <v>24</v>
      </c>
      <c r="C79" s="3">
        <v>3992</v>
      </c>
      <c r="D79" s="4" t="s">
        <v>72</v>
      </c>
      <c r="E79" s="4" t="s">
        <v>25</v>
      </c>
      <c r="F79" s="4" t="s">
        <v>26</v>
      </c>
    </row>
    <row r="80" spans="1:6" ht="16.2" customHeight="1" x14ac:dyDescent="0.3">
      <c r="A80" s="3">
        <v>3957</v>
      </c>
      <c r="B80" s="6" t="s">
        <v>24</v>
      </c>
      <c r="C80" s="3">
        <v>3957</v>
      </c>
      <c r="D80" s="4" t="s">
        <v>314</v>
      </c>
      <c r="E80" s="4" t="s">
        <v>319</v>
      </c>
      <c r="F80" s="4" t="s">
        <v>90</v>
      </c>
    </row>
    <row r="81" spans="1:6" ht="16.2" customHeight="1" x14ac:dyDescent="0.3">
      <c r="A81" s="7">
        <v>3741</v>
      </c>
      <c r="B81" s="6" t="s">
        <v>24</v>
      </c>
      <c r="C81" s="7">
        <v>3741</v>
      </c>
      <c r="D81" s="4" t="s">
        <v>137</v>
      </c>
      <c r="E81" s="4" t="s">
        <v>136</v>
      </c>
      <c r="F81" s="4" t="s">
        <v>135</v>
      </c>
    </row>
    <row r="82" spans="1:6" ht="16.2" customHeight="1" x14ac:dyDescent="0.3">
      <c r="A82" s="7">
        <v>3544</v>
      </c>
      <c r="B82" s="6" t="s">
        <v>24</v>
      </c>
      <c r="C82" s="7">
        <v>3544</v>
      </c>
      <c r="D82" s="4" t="s">
        <v>137</v>
      </c>
      <c r="E82" s="4" t="s">
        <v>136</v>
      </c>
      <c r="F82" s="4" t="s">
        <v>135</v>
      </c>
    </row>
    <row r="83" spans="1:6" ht="16.2" customHeight="1" x14ac:dyDescent="0.3">
      <c r="A83" s="3">
        <v>3113</v>
      </c>
      <c r="B83" s="6" t="s">
        <v>24</v>
      </c>
      <c r="C83" s="3">
        <v>3113</v>
      </c>
      <c r="D83" s="4" t="s">
        <v>73</v>
      </c>
      <c r="E83" s="4" t="s">
        <v>25</v>
      </c>
      <c r="F83" s="4" t="s">
        <v>26</v>
      </c>
    </row>
    <row r="84" spans="1:6" ht="16.2" customHeight="1" x14ac:dyDescent="0.3">
      <c r="A84" s="6">
        <v>3037</v>
      </c>
      <c r="B84" s="6" t="s">
        <v>24</v>
      </c>
      <c r="C84" s="6">
        <v>3037</v>
      </c>
      <c r="D84" s="4" t="s">
        <v>317</v>
      </c>
      <c r="E84" s="4" t="s">
        <v>140</v>
      </c>
      <c r="F84" s="4" t="s">
        <v>90</v>
      </c>
    </row>
    <row r="85" spans="1:6" ht="16.2" customHeight="1" x14ac:dyDescent="0.3">
      <c r="A85" s="7">
        <v>2968</v>
      </c>
      <c r="B85" s="6" t="s">
        <v>24</v>
      </c>
      <c r="C85" s="7">
        <v>2968</v>
      </c>
      <c r="D85" s="4" t="s">
        <v>137</v>
      </c>
      <c r="E85" s="4" t="s">
        <v>136</v>
      </c>
      <c r="F85" s="4" t="s">
        <v>135</v>
      </c>
    </row>
    <row r="86" spans="1:6" ht="16.2" customHeight="1" x14ac:dyDescent="0.3">
      <c r="A86" s="7">
        <v>2488</v>
      </c>
      <c r="B86" s="6" t="s">
        <v>24</v>
      </c>
      <c r="C86" s="7">
        <v>2488</v>
      </c>
      <c r="D86" s="4" t="s">
        <v>137</v>
      </c>
      <c r="E86" s="4" t="s">
        <v>136</v>
      </c>
      <c r="F86" s="4" t="s">
        <v>135</v>
      </c>
    </row>
    <row r="87" spans="1:6" ht="16.2" customHeight="1" x14ac:dyDescent="0.3">
      <c r="A87" s="7">
        <v>2037</v>
      </c>
      <c r="B87" s="6" t="s">
        <v>24</v>
      </c>
      <c r="C87" s="7">
        <v>2037</v>
      </c>
      <c r="D87" s="4" t="s">
        <v>137</v>
      </c>
      <c r="E87" s="4" t="s">
        <v>136</v>
      </c>
      <c r="F87" s="4" t="s">
        <v>135</v>
      </c>
    </row>
    <row r="88" spans="1:6" ht="16.2" customHeight="1" x14ac:dyDescent="0.3">
      <c r="A88" s="5">
        <v>1908</v>
      </c>
      <c r="B88" s="6" t="s">
        <v>24</v>
      </c>
      <c r="C88" s="5">
        <v>1908</v>
      </c>
      <c r="D88" s="4" t="s">
        <v>74</v>
      </c>
      <c r="E88" s="4" t="s">
        <v>25</v>
      </c>
      <c r="F88" s="4" t="s">
        <v>26</v>
      </c>
    </row>
    <row r="89" spans="1:6" ht="16.2" customHeight="1" x14ac:dyDescent="0.3">
      <c r="A89" s="5">
        <v>1862</v>
      </c>
      <c r="B89" s="6" t="s">
        <v>24</v>
      </c>
      <c r="C89" s="5">
        <v>1862</v>
      </c>
      <c r="D89" s="4" t="s">
        <v>75</v>
      </c>
      <c r="E89" s="4" t="s">
        <v>25</v>
      </c>
      <c r="F89" s="4" t="s">
        <v>26</v>
      </c>
    </row>
    <row r="90" spans="1:6" ht="16.2" customHeight="1" x14ac:dyDescent="0.3">
      <c r="A90" s="3">
        <v>1773</v>
      </c>
      <c r="B90" s="6" t="s">
        <v>24</v>
      </c>
      <c r="C90" s="3">
        <v>1773</v>
      </c>
      <c r="D90" s="4" t="s">
        <v>76</v>
      </c>
      <c r="E90" s="4" t="s">
        <v>25</v>
      </c>
      <c r="F90" s="4" t="s">
        <v>26</v>
      </c>
    </row>
    <row r="91" spans="1:6" ht="16.2" customHeight="1" x14ac:dyDescent="0.3">
      <c r="A91" s="7">
        <v>1456</v>
      </c>
      <c r="B91" s="6" t="s">
        <v>24</v>
      </c>
      <c r="C91" s="7">
        <v>1456</v>
      </c>
      <c r="D91" s="4" t="s">
        <v>137</v>
      </c>
      <c r="E91" s="4" t="s">
        <v>136</v>
      </c>
      <c r="F91" s="4" t="s">
        <v>135</v>
      </c>
    </row>
    <row r="92" spans="1:6" ht="16.2" customHeight="1" x14ac:dyDescent="0.3">
      <c r="A92" s="7">
        <v>1103</v>
      </c>
      <c r="B92" s="6" t="s">
        <v>24</v>
      </c>
      <c r="C92" s="7">
        <v>1103</v>
      </c>
      <c r="D92" s="4" t="s">
        <v>137</v>
      </c>
      <c r="E92" s="4" t="s">
        <v>136</v>
      </c>
      <c r="F92" s="4" t="s">
        <v>135</v>
      </c>
    </row>
    <row r="93" spans="1:6" ht="16.2" customHeight="1" x14ac:dyDescent="0.3">
      <c r="A93" s="3">
        <v>1082</v>
      </c>
      <c r="B93" s="6" t="s">
        <v>24</v>
      </c>
      <c r="C93" s="3">
        <v>1082</v>
      </c>
      <c r="D93" s="4" t="s">
        <v>77</v>
      </c>
      <c r="E93" s="4" t="s">
        <v>25</v>
      </c>
      <c r="F93" s="4" t="s">
        <v>26</v>
      </c>
    </row>
    <row r="94" spans="1:6" ht="16.2" customHeight="1" x14ac:dyDescent="0.3">
      <c r="A94" s="3">
        <v>1077</v>
      </c>
      <c r="B94" s="6" t="s">
        <v>24</v>
      </c>
      <c r="C94" s="3">
        <v>1077</v>
      </c>
      <c r="D94" s="4" t="s">
        <v>78</v>
      </c>
      <c r="E94" s="4" t="s">
        <v>25</v>
      </c>
      <c r="F94" s="4" t="s">
        <v>26</v>
      </c>
    </row>
    <row r="95" spans="1:6" ht="16.2" customHeight="1" x14ac:dyDescent="0.3">
      <c r="A95" s="1">
        <v>1059</v>
      </c>
      <c r="B95" s="6" t="s">
        <v>24</v>
      </c>
      <c r="C95" s="1">
        <v>1059</v>
      </c>
      <c r="D95" s="2" t="s">
        <v>315</v>
      </c>
      <c r="E95" s="4" t="s">
        <v>319</v>
      </c>
      <c r="F95" s="4" t="s">
        <v>90</v>
      </c>
    </row>
    <row r="96" spans="1:6" ht="16.2" customHeight="1" x14ac:dyDescent="0.3">
      <c r="A96" s="7">
        <v>1055</v>
      </c>
      <c r="B96" s="6" t="s">
        <v>24</v>
      </c>
      <c r="C96" s="7">
        <v>1055</v>
      </c>
      <c r="D96" s="4" t="s">
        <v>137</v>
      </c>
      <c r="E96" s="4" t="s">
        <v>136</v>
      </c>
      <c r="F96" s="4" t="s">
        <v>135</v>
      </c>
    </row>
    <row r="97" spans="1:6" ht="16.2" customHeight="1" x14ac:dyDescent="0.3">
      <c r="A97" s="3">
        <v>1004</v>
      </c>
      <c r="B97" s="6" t="s">
        <v>24</v>
      </c>
      <c r="C97" s="3">
        <v>1004</v>
      </c>
      <c r="D97" s="4" t="s">
        <v>79</v>
      </c>
      <c r="E97" s="4" t="s">
        <v>25</v>
      </c>
      <c r="F97" s="4" t="s">
        <v>26</v>
      </c>
    </row>
    <row r="98" spans="1:6" ht="16.2" customHeight="1" x14ac:dyDescent="0.3">
      <c r="A98" s="7">
        <v>908</v>
      </c>
      <c r="B98" s="6" t="s">
        <v>24</v>
      </c>
      <c r="C98" s="7">
        <v>908</v>
      </c>
      <c r="D98" s="4" t="s">
        <v>137</v>
      </c>
      <c r="E98" s="4" t="s">
        <v>136</v>
      </c>
      <c r="F98" s="4" t="s">
        <v>135</v>
      </c>
    </row>
    <row r="99" spans="1:6" ht="16.2" customHeight="1" x14ac:dyDescent="0.3">
      <c r="A99" s="5">
        <v>834</v>
      </c>
      <c r="B99" s="6" t="s">
        <v>24</v>
      </c>
      <c r="C99" s="5">
        <v>834</v>
      </c>
      <c r="D99" s="4" t="s">
        <v>80</v>
      </c>
      <c r="E99" s="4" t="s">
        <v>25</v>
      </c>
      <c r="F99" s="4" t="s">
        <v>26</v>
      </c>
    </row>
    <row r="100" spans="1:6" ht="16.2" customHeight="1" x14ac:dyDescent="0.3">
      <c r="A100" s="1">
        <v>816</v>
      </c>
      <c r="B100" s="6" t="s">
        <v>24</v>
      </c>
      <c r="C100" s="1">
        <v>816</v>
      </c>
      <c r="D100" s="2" t="s">
        <v>322</v>
      </c>
      <c r="E100" s="2" t="s">
        <v>139</v>
      </c>
      <c r="F100" s="4" t="s">
        <v>138</v>
      </c>
    </row>
    <row r="101" spans="1:6" ht="16.2" customHeight="1" x14ac:dyDescent="0.3">
      <c r="A101" s="3">
        <v>559</v>
      </c>
      <c r="B101" s="6" t="s">
        <v>24</v>
      </c>
      <c r="C101" s="3">
        <v>559</v>
      </c>
      <c r="D101" s="4" t="s">
        <v>81</v>
      </c>
      <c r="E101" s="4" t="s">
        <v>25</v>
      </c>
      <c r="F101" s="4" t="s">
        <v>26</v>
      </c>
    </row>
    <row r="102" spans="1:6" ht="16.2" customHeight="1" x14ac:dyDescent="0.3">
      <c r="A102" s="3">
        <v>529</v>
      </c>
      <c r="B102" s="6" t="s">
        <v>24</v>
      </c>
      <c r="C102" s="3">
        <v>529</v>
      </c>
      <c r="D102" s="4" t="s">
        <v>82</v>
      </c>
      <c r="E102" s="4" t="s">
        <v>25</v>
      </c>
      <c r="F102" s="4" t="s">
        <v>26</v>
      </c>
    </row>
    <row r="103" spans="1:6" ht="16.2" customHeight="1" x14ac:dyDescent="0.3">
      <c r="A103" s="3">
        <v>466</v>
      </c>
      <c r="B103" s="6" t="s">
        <v>24</v>
      </c>
      <c r="C103" s="3">
        <v>466</v>
      </c>
      <c r="D103" s="4" t="s">
        <v>83</v>
      </c>
      <c r="E103" s="4" t="s">
        <v>25</v>
      </c>
      <c r="F103" s="4" t="s">
        <v>26</v>
      </c>
    </row>
    <row r="104" spans="1:6" ht="16.2" customHeight="1" x14ac:dyDescent="0.3">
      <c r="A104" s="7">
        <v>453</v>
      </c>
      <c r="B104" s="6" t="s">
        <v>24</v>
      </c>
      <c r="C104" s="7">
        <v>453</v>
      </c>
      <c r="D104" s="4" t="s">
        <v>137</v>
      </c>
      <c r="E104" s="4" t="s">
        <v>136</v>
      </c>
      <c r="F104" s="4" t="s">
        <v>135</v>
      </c>
    </row>
    <row r="105" spans="1:6" ht="16.2" customHeight="1" x14ac:dyDescent="0.3">
      <c r="A105" s="5">
        <v>384</v>
      </c>
      <c r="B105" s="6" t="s">
        <v>24</v>
      </c>
      <c r="C105" s="5">
        <v>384</v>
      </c>
      <c r="D105" s="4" t="s">
        <v>84</v>
      </c>
      <c r="E105" s="4" t="s">
        <v>25</v>
      </c>
      <c r="F105" s="4" t="s">
        <v>26</v>
      </c>
    </row>
    <row r="106" spans="1:6" ht="16.2" customHeight="1" x14ac:dyDescent="0.3">
      <c r="A106" s="7">
        <v>367</v>
      </c>
      <c r="B106" s="6" t="s">
        <v>24</v>
      </c>
      <c r="C106" s="7">
        <v>367</v>
      </c>
      <c r="D106" s="4" t="s">
        <v>137</v>
      </c>
      <c r="E106" s="4" t="s">
        <v>136</v>
      </c>
      <c r="F106" s="4" t="s">
        <v>135</v>
      </c>
    </row>
    <row r="107" spans="1:6" ht="16.2" customHeight="1" x14ac:dyDescent="0.3">
      <c r="A107" s="3">
        <v>308</v>
      </c>
      <c r="B107" s="6" t="s">
        <v>24</v>
      </c>
      <c r="C107" s="3">
        <v>308</v>
      </c>
      <c r="D107" s="4" t="s">
        <v>85</v>
      </c>
      <c r="E107" s="4" t="s">
        <v>25</v>
      </c>
      <c r="F107" s="4" t="s">
        <v>26</v>
      </c>
    </row>
    <row r="108" spans="1:6" ht="16.2" customHeight="1" x14ac:dyDescent="0.3">
      <c r="A108" s="5">
        <v>295</v>
      </c>
      <c r="B108" s="6" t="s">
        <v>24</v>
      </c>
      <c r="C108" s="5">
        <v>295</v>
      </c>
      <c r="D108" s="4" t="s">
        <v>323</v>
      </c>
      <c r="E108" s="4" t="s">
        <v>25</v>
      </c>
      <c r="F108" s="4" t="s">
        <v>26</v>
      </c>
    </row>
    <row r="109" spans="1:6" ht="16.2" customHeight="1" x14ac:dyDescent="0.3">
      <c r="A109" s="3">
        <v>197</v>
      </c>
      <c r="B109" s="6" t="s">
        <v>24</v>
      </c>
      <c r="C109" s="3">
        <v>197</v>
      </c>
      <c r="D109" s="4" t="s">
        <v>86</v>
      </c>
      <c r="E109" s="4" t="s">
        <v>25</v>
      </c>
      <c r="F109" s="4" t="s">
        <v>26</v>
      </c>
    </row>
    <row r="110" spans="1:6" ht="16.2" customHeight="1" x14ac:dyDescent="0.3">
      <c r="A110" s="7">
        <v>21</v>
      </c>
      <c r="B110" s="6" t="s">
        <v>24</v>
      </c>
      <c r="C110" s="7">
        <v>21</v>
      </c>
      <c r="D110" s="4" t="s">
        <v>137</v>
      </c>
      <c r="E110" s="4" t="s">
        <v>136</v>
      </c>
      <c r="F110" s="4" t="s">
        <v>135</v>
      </c>
    </row>
    <row r="111" spans="1:6" ht="16.2" customHeight="1" x14ac:dyDescent="0.3">
      <c r="A111" s="3">
        <v>0</v>
      </c>
      <c r="B111" s="6" t="s">
        <v>24</v>
      </c>
      <c r="C111" s="3">
        <v>0</v>
      </c>
      <c r="D111" s="4" t="s">
        <v>87</v>
      </c>
      <c r="E111" s="4" t="s">
        <v>25</v>
      </c>
      <c r="F111" s="4" t="s">
        <v>26</v>
      </c>
    </row>
    <row r="112" spans="1:6" ht="16.2" customHeight="1" x14ac:dyDescent="0.3">
      <c r="A112" s="3">
        <v>1</v>
      </c>
      <c r="B112" s="3" t="s">
        <v>15</v>
      </c>
      <c r="C112" s="3" t="s">
        <v>15</v>
      </c>
      <c r="D112" s="4" t="s">
        <v>134</v>
      </c>
      <c r="E112" s="4" t="s">
        <v>133</v>
      </c>
      <c r="F112" s="4" t="s">
        <v>132</v>
      </c>
    </row>
    <row r="113" spans="1:6" ht="16.2" customHeight="1" x14ac:dyDescent="0.3">
      <c r="A113" s="3">
        <v>2</v>
      </c>
      <c r="B113" s="3" t="s">
        <v>13</v>
      </c>
      <c r="C113" s="3" t="s">
        <v>13</v>
      </c>
      <c r="D113" s="4" t="s">
        <v>131</v>
      </c>
      <c r="E113" s="4" t="s">
        <v>130</v>
      </c>
      <c r="F113" s="4" t="s">
        <v>103</v>
      </c>
    </row>
    <row r="114" spans="1:6" ht="16.2" customHeight="1" x14ac:dyDescent="0.3">
      <c r="A114" s="3">
        <v>3</v>
      </c>
      <c r="B114" s="3" t="s">
        <v>129</v>
      </c>
      <c r="C114" s="3" t="s">
        <v>129</v>
      </c>
      <c r="D114" s="4" t="s">
        <v>128</v>
      </c>
      <c r="E114" s="4" t="s">
        <v>9</v>
      </c>
      <c r="F114" s="4" t="s">
        <v>126</v>
      </c>
    </row>
    <row r="115" spans="1:6" ht="16.2" customHeight="1" x14ac:dyDescent="0.3">
      <c r="A115" s="3">
        <v>4</v>
      </c>
      <c r="B115" s="3" t="s">
        <v>18</v>
      </c>
      <c r="C115" s="3" t="s">
        <v>18</v>
      </c>
      <c r="D115" s="4" t="s">
        <v>127</v>
      </c>
      <c r="E115" s="4" t="s">
        <v>9</v>
      </c>
      <c r="F115" s="4" t="s">
        <v>126</v>
      </c>
    </row>
    <row r="116" spans="1:6" ht="16.2" customHeight="1" x14ac:dyDescent="0.3">
      <c r="A116" s="3">
        <v>5</v>
      </c>
      <c r="B116" s="3" t="s">
        <v>12</v>
      </c>
      <c r="C116" s="3" t="s">
        <v>12</v>
      </c>
      <c r="D116" s="4" t="s">
        <v>125</v>
      </c>
      <c r="E116" s="4" t="s">
        <v>124</v>
      </c>
      <c r="F116" s="4" t="s">
        <v>103</v>
      </c>
    </row>
    <row r="117" spans="1:6" ht="16.2" customHeight="1" x14ac:dyDescent="0.3">
      <c r="A117" s="3">
        <v>6</v>
      </c>
      <c r="B117" s="3" t="s">
        <v>123</v>
      </c>
      <c r="C117" s="3" t="s">
        <v>123</v>
      </c>
      <c r="D117" s="4" t="s">
        <v>311</v>
      </c>
      <c r="E117" s="4" t="s">
        <v>122</v>
      </c>
      <c r="F117" s="4" t="s">
        <v>121</v>
      </c>
    </row>
    <row r="118" spans="1:6" ht="16.2" customHeight="1" x14ac:dyDescent="0.3">
      <c r="A118" s="3">
        <v>7</v>
      </c>
      <c r="B118" s="3" t="s">
        <v>3</v>
      </c>
      <c r="C118" s="3" t="s">
        <v>3</v>
      </c>
      <c r="D118" s="4" t="s">
        <v>4</v>
      </c>
      <c r="E118" s="4" t="s">
        <v>10</v>
      </c>
      <c r="F118" s="4" t="s">
        <v>120</v>
      </c>
    </row>
    <row r="119" spans="1:6" ht="16.2" customHeight="1" x14ac:dyDescent="0.3">
      <c r="A119" s="3">
        <v>8</v>
      </c>
      <c r="B119" s="3" t="s">
        <v>119</v>
      </c>
      <c r="C119" s="3" t="s">
        <v>119</v>
      </c>
      <c r="D119" s="4" t="s">
        <v>118</v>
      </c>
      <c r="E119" s="4" t="s">
        <v>117</v>
      </c>
      <c r="F119" s="4" t="s">
        <v>103</v>
      </c>
    </row>
    <row r="120" spans="1:6" ht="16.2" customHeight="1" x14ac:dyDescent="0.3">
      <c r="A120" s="3">
        <v>9</v>
      </c>
      <c r="B120" s="3" t="s">
        <v>6</v>
      </c>
      <c r="C120" s="3" t="s">
        <v>6</v>
      </c>
      <c r="D120" s="4" t="s">
        <v>116</v>
      </c>
      <c r="E120" s="4" t="s">
        <v>98</v>
      </c>
      <c r="F120" s="4" t="s">
        <v>94</v>
      </c>
    </row>
    <row r="121" spans="1:6" ht="16.2" customHeight="1" x14ac:dyDescent="0.3">
      <c r="A121" s="3">
        <v>10</v>
      </c>
      <c r="B121" s="3" t="s">
        <v>14</v>
      </c>
      <c r="C121" s="3" t="s">
        <v>14</v>
      </c>
      <c r="D121" s="4" t="s">
        <v>115</v>
      </c>
      <c r="E121" s="4" t="s">
        <v>11</v>
      </c>
      <c r="F121" s="4" t="s">
        <v>103</v>
      </c>
    </row>
    <row r="122" spans="1:6" ht="16.2" customHeight="1" x14ac:dyDescent="0.3">
      <c r="A122" s="3">
        <v>11</v>
      </c>
      <c r="B122" s="3" t="s">
        <v>114</v>
      </c>
      <c r="C122" s="3" t="s">
        <v>114</v>
      </c>
      <c r="D122" s="4" t="s">
        <v>113</v>
      </c>
      <c r="E122" s="4" t="s">
        <v>313</v>
      </c>
      <c r="F122" s="4" t="s">
        <v>103</v>
      </c>
    </row>
    <row r="123" spans="1:6" ht="16.2" customHeight="1" x14ac:dyDescent="0.3">
      <c r="A123" s="3">
        <v>12</v>
      </c>
      <c r="B123" s="3" t="s">
        <v>112</v>
      </c>
      <c r="C123" s="3" t="s">
        <v>112</v>
      </c>
      <c r="D123" s="4" t="s">
        <v>111</v>
      </c>
      <c r="E123" s="4" t="s">
        <v>108</v>
      </c>
      <c r="F123" s="4" t="s">
        <v>335</v>
      </c>
    </row>
    <row r="124" spans="1:6" ht="16.2" customHeight="1" x14ac:dyDescent="0.3">
      <c r="A124" s="3">
        <v>13</v>
      </c>
      <c r="B124" s="3" t="s">
        <v>110</v>
      </c>
      <c r="C124" s="3" t="s">
        <v>110</v>
      </c>
      <c r="D124" s="4" t="s">
        <v>109</v>
      </c>
      <c r="E124" s="4" t="s">
        <v>108</v>
      </c>
      <c r="F124" s="4" t="s">
        <v>335</v>
      </c>
    </row>
    <row r="125" spans="1:6" ht="16.2" customHeight="1" x14ac:dyDescent="0.3">
      <c r="A125" s="3">
        <v>14</v>
      </c>
      <c r="B125" s="3" t="s">
        <v>107</v>
      </c>
      <c r="C125" s="3" t="s">
        <v>107</v>
      </c>
      <c r="D125" s="4" t="s">
        <v>106</v>
      </c>
      <c r="E125" s="4" t="s">
        <v>105</v>
      </c>
      <c r="F125" s="4" t="s">
        <v>335</v>
      </c>
    </row>
    <row r="126" spans="1:6" ht="16.2" customHeight="1" x14ac:dyDescent="0.3">
      <c r="A126" s="3">
        <v>15</v>
      </c>
      <c r="B126" s="3" t="s">
        <v>16</v>
      </c>
      <c r="C126" s="3" t="s">
        <v>16</v>
      </c>
      <c r="D126" s="4" t="s">
        <v>104</v>
      </c>
      <c r="E126" s="4" t="s">
        <v>316</v>
      </c>
      <c r="F126" s="4" t="s">
        <v>103</v>
      </c>
    </row>
    <row r="127" spans="1:6" ht="16.2" customHeight="1" x14ac:dyDescent="0.3">
      <c r="A127" s="3">
        <v>16</v>
      </c>
      <c r="B127" s="3" t="s">
        <v>17</v>
      </c>
      <c r="C127" s="3" t="s">
        <v>17</v>
      </c>
      <c r="D127" s="4" t="s">
        <v>102</v>
      </c>
      <c r="E127" s="4" t="s">
        <v>101</v>
      </c>
      <c r="F127" s="4" t="s">
        <v>90</v>
      </c>
    </row>
    <row r="128" spans="1:6" ht="16.2" customHeight="1" x14ac:dyDescent="0.3">
      <c r="A128" s="3">
        <v>17</v>
      </c>
      <c r="B128" s="6" t="s">
        <v>7</v>
      </c>
      <c r="C128" s="6" t="s">
        <v>7</v>
      </c>
      <c r="D128" s="4" t="s">
        <v>88</v>
      </c>
      <c r="E128" s="4" t="s">
        <v>89</v>
      </c>
      <c r="F128" s="4" t="s">
        <v>26</v>
      </c>
    </row>
    <row r="129" spans="1:6" ht="16.2" customHeight="1" x14ac:dyDescent="0.3">
      <c r="A129" s="3">
        <v>18</v>
      </c>
      <c r="B129" s="3" t="s">
        <v>100</v>
      </c>
      <c r="C129" s="3" t="s">
        <v>100</v>
      </c>
      <c r="D129" s="4" t="s">
        <v>99</v>
      </c>
      <c r="E129" s="4" t="s">
        <v>98</v>
      </c>
      <c r="F129" s="4" t="s">
        <v>94</v>
      </c>
    </row>
    <row r="130" spans="1:6" ht="16.2" customHeight="1" x14ac:dyDescent="0.3">
      <c r="A130" s="3">
        <v>19</v>
      </c>
      <c r="B130" s="3" t="s">
        <v>97</v>
      </c>
      <c r="C130" s="3" t="s">
        <v>97</v>
      </c>
      <c r="D130" s="4" t="s">
        <v>96</v>
      </c>
      <c r="E130" s="4" t="s">
        <v>95</v>
      </c>
      <c r="F130" s="4" t="s">
        <v>94</v>
      </c>
    </row>
    <row r="131" spans="1:6" ht="16.2" customHeight="1" x14ac:dyDescent="0.3">
      <c r="A131" s="3">
        <v>20</v>
      </c>
      <c r="B131" s="3" t="s">
        <v>93</v>
      </c>
      <c r="C131" s="6" t="s">
        <v>93</v>
      </c>
      <c r="D131" s="4" t="s">
        <v>92</v>
      </c>
      <c r="E131" s="4" t="s">
        <v>91</v>
      </c>
      <c r="F131" s="4" t="s">
        <v>90</v>
      </c>
    </row>
    <row r="132" spans="1:6" ht="16.2" customHeight="1" x14ac:dyDescent="0.3">
      <c r="A132" s="3">
        <v>21</v>
      </c>
      <c r="B132" s="3" t="s">
        <v>5</v>
      </c>
      <c r="C132" s="6" t="s">
        <v>5</v>
      </c>
      <c r="D132" s="6" t="s">
        <v>5</v>
      </c>
      <c r="E132" s="4" t="s">
        <v>5</v>
      </c>
      <c r="F132" s="4" t="s">
        <v>26</v>
      </c>
    </row>
    <row r="133" spans="1:6" ht="16.2" customHeight="1" x14ac:dyDescent="0.3">
      <c r="A133" s="3">
        <v>2470</v>
      </c>
      <c r="B133" s="3" t="s">
        <v>24</v>
      </c>
      <c r="C133" s="3">
        <v>2470</v>
      </c>
      <c r="D133" s="4" t="s">
        <v>137</v>
      </c>
      <c r="E133" s="4" t="s">
        <v>136</v>
      </c>
      <c r="F133" s="4" t="s">
        <v>135</v>
      </c>
    </row>
    <row r="134" spans="1:6" ht="16.2" customHeight="1" x14ac:dyDescent="0.3">
      <c r="A134"/>
      <c r="B134"/>
      <c r="C134"/>
      <c r="D134"/>
      <c r="E134"/>
      <c r="F134"/>
    </row>
    <row r="135" spans="1:6" ht="16.2" customHeight="1" x14ac:dyDescent="0.3">
      <c r="A135"/>
      <c r="B135"/>
      <c r="C135"/>
      <c r="D135"/>
      <c r="E135"/>
      <c r="F135"/>
    </row>
    <row r="136" spans="1:6" ht="16.2" customHeight="1" x14ac:dyDescent="0.3">
      <c r="A136"/>
      <c r="B136"/>
      <c r="C136"/>
      <c r="D136"/>
      <c r="E136"/>
      <c r="F136"/>
    </row>
    <row r="137" spans="1:6" ht="16.2" customHeight="1" x14ac:dyDescent="0.3">
      <c r="A137"/>
      <c r="B137"/>
      <c r="C137"/>
      <c r="D137"/>
      <c r="E137"/>
      <c r="F137"/>
    </row>
    <row r="138" spans="1:6" ht="16.2" customHeight="1" x14ac:dyDescent="0.3">
      <c r="A138"/>
      <c r="B138"/>
      <c r="C138"/>
      <c r="D138"/>
      <c r="E138"/>
      <c r="F138"/>
    </row>
    <row r="139" spans="1:6" ht="16.2" customHeight="1" x14ac:dyDescent="0.3">
      <c r="A139"/>
      <c r="B139"/>
      <c r="C139"/>
      <c r="D139"/>
      <c r="E139"/>
      <c r="F139"/>
    </row>
    <row r="140" spans="1:6" ht="16.2" customHeight="1" x14ac:dyDescent="0.3">
      <c r="A140"/>
      <c r="B140"/>
      <c r="C140"/>
      <c r="D140"/>
      <c r="E140"/>
      <c r="F140"/>
    </row>
    <row r="141" spans="1:6" ht="16.2" customHeight="1" x14ac:dyDescent="0.3">
      <c r="A141"/>
      <c r="B141"/>
      <c r="C141"/>
      <c r="D141"/>
      <c r="E141"/>
      <c r="F141"/>
    </row>
    <row r="142" spans="1:6" ht="16.2" customHeight="1" x14ac:dyDescent="0.3">
      <c r="A142"/>
      <c r="B142"/>
      <c r="C142"/>
      <c r="D142"/>
      <c r="E142"/>
      <c r="F142"/>
    </row>
    <row r="143" spans="1:6" ht="16.2" customHeight="1" x14ac:dyDescent="0.3">
      <c r="A143"/>
      <c r="B143"/>
      <c r="C143"/>
      <c r="D143"/>
      <c r="E143"/>
      <c r="F143"/>
    </row>
    <row r="144" spans="1:6" ht="16.2" customHeight="1" x14ac:dyDescent="0.3">
      <c r="A144"/>
      <c r="B144"/>
      <c r="C144"/>
      <c r="D144"/>
      <c r="E144"/>
      <c r="F144"/>
    </row>
    <row r="145" spans="1:6" ht="16.2" customHeight="1" x14ac:dyDescent="0.3">
      <c r="A145"/>
      <c r="B145"/>
      <c r="C145"/>
      <c r="D145"/>
      <c r="E145"/>
      <c r="F145"/>
    </row>
    <row r="146" spans="1:6" ht="16.2" customHeight="1" x14ac:dyDescent="0.3">
      <c r="A146"/>
      <c r="B146"/>
      <c r="C146"/>
      <c r="D146"/>
      <c r="E146"/>
      <c r="F146"/>
    </row>
    <row r="147" spans="1:6" ht="16.2" customHeight="1" x14ac:dyDescent="0.3">
      <c r="A147"/>
      <c r="B147"/>
      <c r="C147"/>
      <c r="D147"/>
      <c r="E147"/>
      <c r="F147"/>
    </row>
    <row r="148" spans="1:6" ht="16.2" customHeight="1" x14ac:dyDescent="0.3">
      <c r="A148"/>
      <c r="B148"/>
      <c r="C148"/>
      <c r="D148"/>
      <c r="E148"/>
      <c r="F148"/>
    </row>
    <row r="149" spans="1:6" ht="16.2" customHeight="1" x14ac:dyDescent="0.3">
      <c r="A149"/>
      <c r="B149"/>
      <c r="C149"/>
      <c r="D149"/>
      <c r="E149"/>
      <c r="F149"/>
    </row>
    <row r="150" spans="1:6" ht="16.2" customHeight="1" x14ac:dyDescent="0.3">
      <c r="A150"/>
      <c r="B150"/>
      <c r="C150"/>
      <c r="D150"/>
      <c r="E150"/>
      <c r="F150"/>
    </row>
    <row r="151" spans="1:6" ht="16.2" customHeight="1" x14ac:dyDescent="0.3">
      <c r="A151"/>
      <c r="B151"/>
      <c r="C151"/>
      <c r="D151"/>
      <c r="E151"/>
      <c r="F151"/>
    </row>
    <row r="152" spans="1:6" ht="16.2" customHeight="1" x14ac:dyDescent="0.3">
      <c r="A152"/>
      <c r="B152"/>
      <c r="C152"/>
      <c r="D152"/>
      <c r="E152"/>
      <c r="F152"/>
    </row>
    <row r="153" spans="1:6" ht="16.2" customHeight="1" x14ac:dyDescent="0.3">
      <c r="A153"/>
      <c r="B153"/>
      <c r="C153"/>
      <c r="D153"/>
      <c r="E153"/>
      <c r="F153"/>
    </row>
    <row r="154" spans="1:6" ht="16.2" customHeight="1" x14ac:dyDescent="0.3">
      <c r="A154"/>
      <c r="B154"/>
      <c r="C154"/>
      <c r="D154"/>
      <c r="E154"/>
      <c r="F154"/>
    </row>
    <row r="155" spans="1:6" ht="16.2" customHeight="1" x14ac:dyDescent="0.3">
      <c r="A155"/>
      <c r="B155"/>
      <c r="C155"/>
      <c r="D155"/>
      <c r="E155"/>
      <c r="F155"/>
    </row>
    <row r="156" spans="1:6" ht="16.2" customHeight="1" x14ac:dyDescent="0.3">
      <c r="A156"/>
      <c r="B156"/>
      <c r="C156"/>
      <c r="D156"/>
      <c r="E156"/>
      <c r="F156"/>
    </row>
    <row r="157" spans="1:6" ht="16.2" customHeight="1" x14ac:dyDescent="0.3">
      <c r="A157"/>
      <c r="B157"/>
      <c r="C157"/>
      <c r="D157"/>
      <c r="E157"/>
      <c r="F157"/>
    </row>
    <row r="158" spans="1:6" ht="16.2" customHeight="1" x14ac:dyDescent="0.3">
      <c r="A158"/>
      <c r="B158"/>
      <c r="C158"/>
      <c r="D158"/>
      <c r="E158"/>
      <c r="F158"/>
    </row>
    <row r="159" spans="1:6" ht="16.2" customHeight="1" x14ac:dyDescent="0.3">
      <c r="A159"/>
      <c r="B159"/>
      <c r="C159"/>
      <c r="D159"/>
      <c r="E159"/>
      <c r="F159"/>
    </row>
    <row r="160" spans="1:6" ht="16.2" customHeight="1" x14ac:dyDescent="0.3">
      <c r="A160"/>
      <c r="B160"/>
      <c r="C160"/>
      <c r="D160"/>
      <c r="E160"/>
      <c r="F160"/>
    </row>
    <row r="161" spans="1:6" ht="16.2" customHeight="1" x14ac:dyDescent="0.3">
      <c r="A161"/>
      <c r="B161"/>
      <c r="C161"/>
      <c r="D161"/>
      <c r="E161"/>
      <c r="F161"/>
    </row>
    <row r="162" spans="1:6" ht="16.2" customHeight="1" x14ac:dyDescent="0.3">
      <c r="A162"/>
      <c r="B162"/>
      <c r="C162"/>
      <c r="D162"/>
      <c r="E162"/>
      <c r="F162"/>
    </row>
    <row r="163" spans="1:6" ht="16.2" customHeight="1" x14ac:dyDescent="0.3">
      <c r="A163"/>
      <c r="B163"/>
      <c r="C163"/>
      <c r="D163"/>
      <c r="E163"/>
      <c r="F163"/>
    </row>
    <row r="164" spans="1:6" ht="16.2" customHeight="1" x14ac:dyDescent="0.3">
      <c r="A164"/>
      <c r="B164"/>
      <c r="C164"/>
      <c r="D164"/>
      <c r="E164"/>
      <c r="F164"/>
    </row>
    <row r="165" spans="1:6" ht="16.2" customHeight="1" x14ac:dyDescent="0.3">
      <c r="A165"/>
      <c r="B165"/>
      <c r="C165"/>
      <c r="D165"/>
      <c r="E165"/>
      <c r="F165"/>
    </row>
    <row r="166" spans="1:6" ht="16.2" customHeight="1" x14ac:dyDescent="0.3">
      <c r="A166"/>
      <c r="B166"/>
      <c r="C166"/>
      <c r="D166"/>
      <c r="E166"/>
      <c r="F166"/>
    </row>
    <row r="167" spans="1:6" ht="16.2" customHeight="1" x14ac:dyDescent="0.3">
      <c r="A167"/>
      <c r="B167"/>
      <c r="C167"/>
      <c r="D167"/>
      <c r="E167"/>
      <c r="F167"/>
    </row>
    <row r="168" spans="1:6" ht="16.2" customHeight="1" x14ac:dyDescent="0.3">
      <c r="A168"/>
      <c r="B168"/>
      <c r="C168"/>
      <c r="D168"/>
      <c r="E168"/>
      <c r="F168"/>
    </row>
    <row r="169" spans="1:6" ht="16.2" customHeight="1" x14ac:dyDescent="0.3">
      <c r="A169"/>
      <c r="B169"/>
      <c r="C169"/>
      <c r="D169"/>
      <c r="E169"/>
      <c r="F169"/>
    </row>
    <row r="170" spans="1:6" ht="16.2" customHeight="1" x14ac:dyDescent="0.3">
      <c r="A170"/>
      <c r="B170"/>
      <c r="C170"/>
      <c r="D170"/>
      <c r="E170"/>
      <c r="F170"/>
    </row>
    <row r="171" spans="1:6" ht="16.2" customHeight="1" x14ac:dyDescent="0.3">
      <c r="A171"/>
      <c r="B171"/>
      <c r="C171"/>
      <c r="D171"/>
      <c r="E171"/>
      <c r="F171"/>
    </row>
    <row r="172" spans="1:6" ht="16.2" customHeight="1" x14ac:dyDescent="0.3">
      <c r="A172"/>
      <c r="B172"/>
      <c r="C172"/>
      <c r="D172"/>
      <c r="E172"/>
      <c r="F172"/>
    </row>
    <row r="173" spans="1:6" ht="16.2" customHeight="1" x14ac:dyDescent="0.3">
      <c r="A173"/>
      <c r="B173"/>
      <c r="C173"/>
      <c r="D173"/>
      <c r="E173"/>
      <c r="F173"/>
    </row>
    <row r="174" spans="1:6" ht="16.2" customHeight="1" x14ac:dyDescent="0.3">
      <c r="A174"/>
      <c r="B174"/>
      <c r="C174"/>
      <c r="D174"/>
      <c r="E174"/>
      <c r="F174"/>
    </row>
    <row r="175" spans="1:6" ht="16.2" customHeight="1" x14ac:dyDescent="0.3">
      <c r="A175"/>
      <c r="B175"/>
      <c r="C175"/>
      <c r="D175"/>
      <c r="E175"/>
      <c r="F175"/>
    </row>
    <row r="176" spans="1:6" ht="16.2" customHeight="1" x14ac:dyDescent="0.3">
      <c r="A176"/>
      <c r="B176"/>
      <c r="C176"/>
      <c r="D176"/>
      <c r="E176"/>
      <c r="F176"/>
    </row>
    <row r="177" spans="1:6" ht="16.2" customHeight="1" x14ac:dyDescent="0.3">
      <c r="A177"/>
      <c r="B177"/>
      <c r="C177"/>
      <c r="D177"/>
      <c r="E177"/>
      <c r="F177"/>
    </row>
    <row r="178" spans="1:6" ht="16.2" customHeight="1" x14ac:dyDescent="0.3">
      <c r="A178"/>
      <c r="B178"/>
      <c r="C178"/>
      <c r="D178"/>
      <c r="E178"/>
      <c r="F178"/>
    </row>
    <row r="179" spans="1:6" ht="16.2" customHeight="1" x14ac:dyDescent="0.3">
      <c r="A179"/>
      <c r="B179"/>
      <c r="C179"/>
      <c r="D179"/>
      <c r="E179"/>
      <c r="F179"/>
    </row>
    <row r="180" spans="1:6" ht="16.2" customHeight="1" x14ac:dyDescent="0.3">
      <c r="A180"/>
      <c r="B180"/>
      <c r="C180"/>
      <c r="D180"/>
      <c r="E180"/>
      <c r="F180"/>
    </row>
    <row r="181" spans="1:6" ht="16.2" customHeight="1" x14ac:dyDescent="0.3">
      <c r="A181"/>
      <c r="B181"/>
      <c r="C181"/>
      <c r="D181"/>
      <c r="E181"/>
      <c r="F181"/>
    </row>
    <row r="182" spans="1:6" ht="16.2" customHeight="1" x14ac:dyDescent="0.3">
      <c r="A182"/>
      <c r="B182"/>
      <c r="C182"/>
      <c r="D182"/>
      <c r="E182"/>
      <c r="F182"/>
    </row>
    <row r="183" spans="1:6" ht="16.2" customHeight="1" x14ac:dyDescent="0.3">
      <c r="A183"/>
      <c r="B183"/>
      <c r="C183"/>
      <c r="D183"/>
      <c r="E183"/>
      <c r="F183"/>
    </row>
    <row r="184" spans="1:6" ht="16.2" customHeight="1" x14ac:dyDescent="0.3">
      <c r="A184"/>
      <c r="B184"/>
      <c r="C184"/>
      <c r="D184"/>
      <c r="E184"/>
      <c r="F184"/>
    </row>
    <row r="185" spans="1:6" ht="16.2" customHeight="1" x14ac:dyDescent="0.3">
      <c r="A185"/>
      <c r="B185"/>
      <c r="C185"/>
      <c r="D185"/>
      <c r="E185"/>
      <c r="F185"/>
    </row>
    <row r="186" spans="1:6" ht="16.2" customHeight="1" x14ac:dyDescent="0.3">
      <c r="A186"/>
      <c r="B186"/>
      <c r="C186"/>
      <c r="D186"/>
      <c r="E186"/>
      <c r="F186"/>
    </row>
    <row r="187" spans="1:6" ht="16.2" customHeight="1" x14ac:dyDescent="0.3">
      <c r="A187"/>
      <c r="B187"/>
      <c r="C187"/>
      <c r="D187"/>
      <c r="E187"/>
      <c r="F187"/>
    </row>
    <row r="188" spans="1:6" ht="16.2" customHeight="1" x14ac:dyDescent="0.3">
      <c r="A188"/>
      <c r="B188"/>
      <c r="C188"/>
      <c r="D188"/>
      <c r="E188"/>
      <c r="F188"/>
    </row>
    <row r="189" spans="1:6" ht="16.2" customHeight="1" x14ac:dyDescent="0.3">
      <c r="A189"/>
      <c r="B189"/>
      <c r="C189"/>
      <c r="D189"/>
      <c r="E189"/>
      <c r="F189"/>
    </row>
    <row r="190" spans="1:6" ht="16.2" customHeight="1" x14ac:dyDescent="0.3">
      <c r="A190"/>
      <c r="B190"/>
      <c r="C190"/>
      <c r="D190"/>
      <c r="E190"/>
      <c r="F190"/>
    </row>
    <row r="191" spans="1:6" ht="16.2" customHeight="1" x14ac:dyDescent="0.3">
      <c r="A191"/>
      <c r="B191"/>
      <c r="C191"/>
      <c r="D191"/>
      <c r="E191"/>
      <c r="F191"/>
    </row>
    <row r="192" spans="1:6" ht="16.2" customHeight="1" x14ac:dyDescent="0.3">
      <c r="A192"/>
      <c r="B192"/>
      <c r="C192"/>
      <c r="D192"/>
      <c r="E192"/>
      <c r="F192"/>
    </row>
    <row r="193" spans="1:6" ht="16.2" customHeight="1" x14ac:dyDescent="0.3">
      <c r="A193"/>
      <c r="B193"/>
      <c r="C193"/>
      <c r="D193"/>
      <c r="E193"/>
      <c r="F193"/>
    </row>
    <row r="194" spans="1:6" ht="16.2" customHeight="1" x14ac:dyDescent="0.3">
      <c r="A194"/>
      <c r="B194"/>
      <c r="C194"/>
      <c r="D194"/>
      <c r="E194"/>
      <c r="F194"/>
    </row>
    <row r="195" spans="1:6" ht="16.2" customHeight="1" x14ac:dyDescent="0.3">
      <c r="A195"/>
      <c r="B195"/>
      <c r="C195"/>
      <c r="D195"/>
      <c r="E195"/>
      <c r="F195"/>
    </row>
    <row r="196" spans="1:6" ht="16.2" customHeight="1" x14ac:dyDescent="0.3">
      <c r="A196"/>
      <c r="B196"/>
      <c r="C196"/>
      <c r="D196"/>
      <c r="E196"/>
      <c r="F196"/>
    </row>
    <row r="197" spans="1:6" ht="16.2" customHeight="1" x14ac:dyDescent="0.3">
      <c r="A197"/>
      <c r="B197"/>
      <c r="C197"/>
      <c r="D197"/>
      <c r="E197"/>
      <c r="F197"/>
    </row>
    <row r="198" spans="1:6" ht="16.2" customHeight="1" x14ac:dyDescent="0.3">
      <c r="A198"/>
      <c r="B198"/>
      <c r="C198"/>
      <c r="D198"/>
      <c r="E198"/>
      <c r="F198"/>
    </row>
    <row r="199" spans="1:6" ht="16.2" customHeight="1" x14ac:dyDescent="0.3">
      <c r="A199"/>
      <c r="B199"/>
      <c r="C199"/>
      <c r="D199"/>
      <c r="E199"/>
      <c r="F199"/>
    </row>
    <row r="200" spans="1:6" ht="16.2" customHeight="1" x14ac:dyDescent="0.3">
      <c r="A200"/>
      <c r="B200"/>
      <c r="C200"/>
      <c r="D200"/>
      <c r="E200"/>
      <c r="F200"/>
    </row>
    <row r="201" spans="1:6" ht="16.2" customHeight="1" x14ac:dyDescent="0.3">
      <c r="A201"/>
      <c r="B201"/>
      <c r="C201"/>
      <c r="D201"/>
      <c r="E201"/>
      <c r="F201"/>
    </row>
    <row r="202" spans="1:6" ht="16.2" customHeight="1" x14ac:dyDescent="0.3">
      <c r="A202"/>
      <c r="B202"/>
      <c r="C202"/>
      <c r="D202"/>
      <c r="E202"/>
      <c r="F202"/>
    </row>
    <row r="203" spans="1:6" ht="16.2" customHeight="1" x14ac:dyDescent="0.3">
      <c r="A203"/>
      <c r="B203"/>
      <c r="C203"/>
      <c r="D203"/>
      <c r="E203"/>
      <c r="F203"/>
    </row>
    <row r="204" spans="1:6" ht="16.2" customHeight="1" x14ac:dyDescent="0.3">
      <c r="A204"/>
      <c r="B204"/>
      <c r="C204"/>
      <c r="D204"/>
      <c r="E204"/>
      <c r="F204"/>
    </row>
    <row r="205" spans="1:6" ht="16.2" customHeight="1" x14ac:dyDescent="0.3">
      <c r="A205"/>
      <c r="B205"/>
      <c r="C205"/>
      <c r="D205"/>
      <c r="E205"/>
      <c r="F205"/>
    </row>
    <row r="206" spans="1:6" ht="16.2" customHeight="1" x14ac:dyDescent="0.3">
      <c r="A206"/>
      <c r="B206"/>
      <c r="C206"/>
      <c r="D206"/>
      <c r="E206"/>
      <c r="F206"/>
    </row>
    <row r="207" spans="1:6" ht="16.2" customHeight="1" x14ac:dyDescent="0.3">
      <c r="A207"/>
      <c r="B207"/>
      <c r="C207"/>
      <c r="D207"/>
      <c r="E207"/>
      <c r="F207"/>
    </row>
    <row r="208" spans="1:6" ht="16.2" customHeight="1" x14ac:dyDescent="0.3">
      <c r="A208"/>
      <c r="B208"/>
      <c r="C208"/>
      <c r="D208"/>
      <c r="E208"/>
      <c r="F208"/>
    </row>
    <row r="209" spans="1:6" ht="16.2" customHeight="1" x14ac:dyDescent="0.3">
      <c r="A209"/>
      <c r="B209"/>
      <c r="C209"/>
      <c r="D209"/>
      <c r="E209"/>
      <c r="F209"/>
    </row>
    <row r="210" spans="1:6" ht="16.2" customHeight="1" x14ac:dyDescent="0.3">
      <c r="A210"/>
      <c r="B210"/>
      <c r="C210"/>
      <c r="D210"/>
      <c r="E210"/>
      <c r="F210"/>
    </row>
    <row r="211" spans="1:6" ht="16.2" customHeight="1" x14ac:dyDescent="0.3">
      <c r="A211"/>
      <c r="B211"/>
      <c r="C211"/>
      <c r="D211"/>
      <c r="E211"/>
      <c r="F211"/>
    </row>
    <row r="212" spans="1:6" ht="16.2" customHeight="1" x14ac:dyDescent="0.3">
      <c r="A212"/>
      <c r="B212"/>
      <c r="C212"/>
      <c r="D212"/>
      <c r="E212"/>
      <c r="F212"/>
    </row>
    <row r="213" spans="1:6" ht="16.2" customHeight="1" x14ac:dyDescent="0.3">
      <c r="A213"/>
      <c r="B213"/>
      <c r="C213"/>
      <c r="D213"/>
      <c r="E213"/>
      <c r="F213"/>
    </row>
    <row r="214" spans="1:6" ht="16.2" customHeight="1" x14ac:dyDescent="0.3">
      <c r="A214"/>
      <c r="B214"/>
      <c r="C214"/>
      <c r="D214"/>
      <c r="E214"/>
      <c r="F214"/>
    </row>
    <row r="215" spans="1:6" ht="16.2" customHeight="1" x14ac:dyDescent="0.3">
      <c r="A215"/>
      <c r="B215"/>
      <c r="C215"/>
      <c r="D215"/>
      <c r="E215"/>
      <c r="F215"/>
    </row>
    <row r="216" spans="1:6" ht="16.2" customHeight="1" x14ac:dyDescent="0.3">
      <c r="A216"/>
      <c r="B216"/>
      <c r="C216"/>
      <c r="D216"/>
      <c r="E216"/>
      <c r="F216"/>
    </row>
    <row r="217" spans="1:6" ht="16.2" customHeight="1" x14ac:dyDescent="0.3">
      <c r="A217"/>
      <c r="B217"/>
      <c r="C217"/>
      <c r="D217"/>
      <c r="E217"/>
      <c r="F217"/>
    </row>
    <row r="218" spans="1:6" ht="16.2" customHeight="1" x14ac:dyDescent="0.3">
      <c r="A218"/>
      <c r="B218"/>
      <c r="C218"/>
      <c r="D218"/>
      <c r="E218"/>
      <c r="F218"/>
    </row>
    <row r="219" spans="1:6" ht="16.2" customHeight="1" x14ac:dyDescent="0.3">
      <c r="A219"/>
      <c r="B219"/>
      <c r="C219"/>
      <c r="D219"/>
      <c r="E219"/>
      <c r="F219"/>
    </row>
    <row r="220" spans="1:6" ht="16.2" customHeight="1" x14ac:dyDescent="0.3">
      <c r="A220"/>
      <c r="B220"/>
      <c r="C220"/>
      <c r="D220"/>
      <c r="E220"/>
      <c r="F220"/>
    </row>
    <row r="221" spans="1:6" ht="16.2" customHeight="1" x14ac:dyDescent="0.3">
      <c r="A221"/>
      <c r="B221"/>
      <c r="C221"/>
      <c r="D221"/>
      <c r="E221"/>
      <c r="F221"/>
    </row>
    <row r="222" spans="1:6" ht="16.2" customHeight="1" x14ac:dyDescent="0.3">
      <c r="A222"/>
      <c r="B222"/>
      <c r="C222"/>
      <c r="D222"/>
      <c r="E222"/>
      <c r="F222"/>
    </row>
    <row r="223" spans="1:6" ht="16.2" customHeight="1" x14ac:dyDescent="0.3">
      <c r="A223"/>
      <c r="B223"/>
      <c r="C223"/>
      <c r="D223"/>
      <c r="E223"/>
      <c r="F223"/>
    </row>
    <row r="224" spans="1:6" ht="16.2" customHeight="1" x14ac:dyDescent="0.3">
      <c r="A224"/>
      <c r="B224"/>
      <c r="C224"/>
      <c r="D224"/>
      <c r="E224"/>
      <c r="F224"/>
    </row>
    <row r="225" spans="1:6" ht="16.2" customHeight="1" x14ac:dyDescent="0.3">
      <c r="A225"/>
      <c r="B225"/>
      <c r="C225"/>
      <c r="D225"/>
      <c r="E225"/>
      <c r="F225"/>
    </row>
    <row r="226" spans="1:6" ht="16.2" customHeight="1" x14ac:dyDescent="0.3">
      <c r="A226"/>
      <c r="B226"/>
      <c r="C226"/>
      <c r="D226"/>
      <c r="E226"/>
      <c r="F226"/>
    </row>
    <row r="227" spans="1:6" ht="16.2" customHeight="1" x14ac:dyDescent="0.3">
      <c r="A227"/>
      <c r="B227"/>
      <c r="C227"/>
      <c r="D227"/>
      <c r="E227"/>
      <c r="F227"/>
    </row>
    <row r="228" spans="1:6" ht="16.2" customHeight="1" x14ac:dyDescent="0.3">
      <c r="A228"/>
      <c r="B228"/>
      <c r="C228"/>
      <c r="D228"/>
      <c r="E228"/>
      <c r="F228"/>
    </row>
    <row r="229" spans="1:6" ht="16.2" customHeight="1" x14ac:dyDescent="0.3">
      <c r="A229"/>
      <c r="B229"/>
      <c r="C229"/>
      <c r="D229"/>
      <c r="E229"/>
      <c r="F229"/>
    </row>
    <row r="230" spans="1:6" ht="16.2" customHeight="1" x14ac:dyDescent="0.3">
      <c r="A230"/>
      <c r="B230"/>
      <c r="C230"/>
      <c r="D230"/>
      <c r="E230"/>
      <c r="F230"/>
    </row>
    <row r="231" spans="1:6" ht="16.2" customHeight="1" x14ac:dyDescent="0.3">
      <c r="A231"/>
      <c r="B231"/>
      <c r="C231"/>
      <c r="D231"/>
      <c r="E231"/>
      <c r="F231"/>
    </row>
    <row r="232" spans="1:6" ht="16.2" customHeight="1" x14ac:dyDescent="0.3">
      <c r="A232"/>
      <c r="B232"/>
      <c r="C232"/>
      <c r="D232"/>
      <c r="E232"/>
      <c r="F232"/>
    </row>
    <row r="233" spans="1:6" ht="16.2" customHeight="1" x14ac:dyDescent="0.3">
      <c r="A233"/>
      <c r="B233"/>
      <c r="C233"/>
      <c r="D233"/>
      <c r="E233"/>
      <c r="F233"/>
    </row>
    <row r="234" spans="1:6" ht="16.2" customHeight="1" x14ac:dyDescent="0.3">
      <c r="A234"/>
      <c r="B234"/>
      <c r="C234"/>
      <c r="D234"/>
      <c r="E234"/>
      <c r="F234"/>
    </row>
    <row r="235" spans="1:6" ht="16.2" customHeight="1" x14ac:dyDescent="0.3">
      <c r="A235"/>
      <c r="B235"/>
      <c r="C235"/>
      <c r="D235"/>
      <c r="E235"/>
      <c r="F235"/>
    </row>
    <row r="236" spans="1:6" ht="16.2" customHeight="1" x14ac:dyDescent="0.3">
      <c r="A236"/>
      <c r="B236"/>
      <c r="C236"/>
      <c r="D236"/>
      <c r="E236"/>
      <c r="F236"/>
    </row>
    <row r="237" spans="1:6" ht="16.2" customHeight="1" x14ac:dyDescent="0.3">
      <c r="A237"/>
      <c r="B237"/>
      <c r="C237"/>
      <c r="D237"/>
      <c r="E237"/>
      <c r="F237"/>
    </row>
    <row r="238" spans="1:6" ht="16.2" customHeight="1" x14ac:dyDescent="0.3">
      <c r="A238"/>
      <c r="B238"/>
      <c r="C238"/>
      <c r="D238"/>
      <c r="E238"/>
      <c r="F238"/>
    </row>
    <row r="239" spans="1:6" ht="16.2" customHeight="1" x14ac:dyDescent="0.3">
      <c r="A239"/>
      <c r="B239"/>
      <c r="C239"/>
      <c r="D239"/>
      <c r="E239"/>
      <c r="F239"/>
    </row>
    <row r="240" spans="1:6" ht="16.2" customHeight="1" x14ac:dyDescent="0.3">
      <c r="A240"/>
      <c r="B240"/>
      <c r="C240"/>
      <c r="D240"/>
      <c r="E240"/>
      <c r="F240"/>
    </row>
    <row r="241" spans="1:6" ht="16.2" customHeight="1" x14ac:dyDescent="0.3">
      <c r="A241"/>
      <c r="B241"/>
      <c r="C241"/>
      <c r="D241"/>
      <c r="E241"/>
      <c r="F241"/>
    </row>
    <row r="242" spans="1:6" ht="16.2" customHeight="1" x14ac:dyDescent="0.3">
      <c r="A242"/>
      <c r="B242"/>
      <c r="C242"/>
      <c r="D242"/>
      <c r="E242"/>
      <c r="F242"/>
    </row>
    <row r="243" spans="1:6" ht="16.2" customHeight="1" x14ac:dyDescent="0.3">
      <c r="A243"/>
      <c r="B243"/>
      <c r="C243"/>
      <c r="D243"/>
      <c r="E243"/>
      <c r="F243"/>
    </row>
    <row r="244" spans="1:6" ht="16.2" customHeight="1" x14ac:dyDescent="0.3">
      <c r="A244"/>
      <c r="B244"/>
      <c r="C244"/>
      <c r="D244"/>
      <c r="E244"/>
      <c r="F244"/>
    </row>
    <row r="245" spans="1:6" ht="16.2" customHeight="1" x14ac:dyDescent="0.3">
      <c r="A245"/>
      <c r="B245"/>
      <c r="C245"/>
      <c r="D245"/>
      <c r="E245"/>
      <c r="F245"/>
    </row>
    <row r="246" spans="1:6" ht="16.2" customHeight="1" x14ac:dyDescent="0.3">
      <c r="A246"/>
      <c r="B246"/>
      <c r="C246"/>
      <c r="D246"/>
      <c r="E246"/>
      <c r="F246"/>
    </row>
    <row r="247" spans="1:6" ht="16.2" customHeight="1" x14ac:dyDescent="0.3">
      <c r="A247"/>
      <c r="B247"/>
      <c r="C247"/>
      <c r="D247"/>
      <c r="E247"/>
      <c r="F247"/>
    </row>
    <row r="248" spans="1:6" ht="16.2" customHeight="1" x14ac:dyDescent="0.3">
      <c r="A248"/>
      <c r="B248"/>
      <c r="C248"/>
      <c r="D248"/>
      <c r="E248"/>
      <c r="F248"/>
    </row>
    <row r="249" spans="1:6" ht="16.2" customHeight="1" x14ac:dyDescent="0.3">
      <c r="A249"/>
      <c r="B249"/>
      <c r="C249"/>
      <c r="D249"/>
      <c r="E249"/>
      <c r="F249"/>
    </row>
    <row r="250" spans="1:6" ht="16.2" customHeight="1" x14ac:dyDescent="0.3">
      <c r="A250"/>
      <c r="B250"/>
      <c r="C250"/>
      <c r="D250"/>
      <c r="E250"/>
      <c r="F250"/>
    </row>
    <row r="251" spans="1:6" ht="16.2" customHeight="1" x14ac:dyDescent="0.3">
      <c r="A251"/>
      <c r="B251"/>
      <c r="C251"/>
      <c r="D251"/>
      <c r="E251"/>
      <c r="F251"/>
    </row>
    <row r="252" spans="1:6" ht="16.2" customHeight="1" x14ac:dyDescent="0.3">
      <c r="A252"/>
      <c r="B252"/>
      <c r="C252"/>
      <c r="D252"/>
      <c r="E252"/>
      <c r="F252"/>
    </row>
    <row r="253" spans="1:6" ht="16.2" customHeight="1" x14ac:dyDescent="0.3">
      <c r="A253"/>
      <c r="B253"/>
      <c r="C253"/>
      <c r="D253"/>
      <c r="E253"/>
      <c r="F253"/>
    </row>
    <row r="254" spans="1:6" ht="16.2" customHeight="1" x14ac:dyDescent="0.3">
      <c r="A254"/>
      <c r="B254"/>
      <c r="C254"/>
      <c r="D254"/>
      <c r="E254"/>
      <c r="F254"/>
    </row>
    <row r="255" spans="1:6" ht="16.2" customHeight="1" x14ac:dyDescent="0.3">
      <c r="A255"/>
      <c r="B255"/>
      <c r="C255"/>
      <c r="D255"/>
      <c r="E255"/>
      <c r="F255"/>
    </row>
    <row r="256" spans="1:6" ht="16.2" customHeight="1" x14ac:dyDescent="0.3">
      <c r="A256"/>
      <c r="B256"/>
      <c r="C256"/>
      <c r="D256"/>
      <c r="E256"/>
      <c r="F256"/>
    </row>
    <row r="257" spans="1:6" ht="16.2" customHeight="1" x14ac:dyDescent="0.3">
      <c r="A257"/>
      <c r="B257"/>
      <c r="C257"/>
      <c r="D257"/>
      <c r="E257"/>
      <c r="F257"/>
    </row>
    <row r="258" spans="1:6" ht="16.2" customHeight="1" x14ac:dyDescent="0.3">
      <c r="A258"/>
      <c r="B258"/>
      <c r="C258"/>
      <c r="D258"/>
      <c r="E258"/>
      <c r="F258"/>
    </row>
    <row r="259" spans="1:6" ht="16.2" customHeight="1" x14ac:dyDescent="0.3">
      <c r="A259"/>
      <c r="B259"/>
      <c r="C259"/>
      <c r="D259"/>
      <c r="E259"/>
      <c r="F259"/>
    </row>
  </sheetData>
  <conditionalFormatting sqref="H13">
    <cfRule type="duplicateValues" dxfId="0" priority="1"/>
  </conditionalFormatting>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646B2-9D92-42C7-B946-879B97478DEE}">
  <dimension ref="A1:F598"/>
  <sheetViews>
    <sheetView topLeftCell="A205" workbookViewId="0">
      <selection activeCell="E213" sqref="E213"/>
    </sheetView>
  </sheetViews>
  <sheetFormatPr defaultColWidth="12.6640625" defaultRowHeight="14.4" x14ac:dyDescent="0.3"/>
  <cols>
    <col min="1" max="1" width="14.6640625" customWidth="1"/>
  </cols>
  <sheetData>
    <row r="1" spans="1:6" x14ac:dyDescent="0.3">
      <c r="A1" s="18" t="s">
        <v>146</v>
      </c>
      <c r="B1" s="18" t="s">
        <v>0</v>
      </c>
      <c r="C1" s="18" t="s">
        <v>339</v>
      </c>
      <c r="D1" s="18" t="s">
        <v>1</v>
      </c>
      <c r="E1" s="18" t="s">
        <v>338</v>
      </c>
      <c r="F1" s="18" t="s">
        <v>2</v>
      </c>
    </row>
    <row r="2" spans="1:6" x14ac:dyDescent="0.3">
      <c r="A2" s="9">
        <v>45659</v>
      </c>
      <c r="B2" s="10" t="s">
        <v>147</v>
      </c>
      <c r="C2" s="11">
        <v>816</v>
      </c>
      <c r="D2" s="10" t="str">
        <f>_xlfn.XLOOKUP(C2, Mapping!$C:$C, Mapping!$E:$E, "Check ID")</f>
        <v>Saving Account</v>
      </c>
      <c r="E2" s="12" t="s">
        <v>336</v>
      </c>
      <c r="F2" s="13">
        <v>17015</v>
      </c>
    </row>
    <row r="3" spans="1:6" x14ac:dyDescent="0.3">
      <c r="A3" s="9">
        <v>45661</v>
      </c>
      <c r="B3" s="10" t="s">
        <v>147</v>
      </c>
      <c r="C3" s="11">
        <v>3957</v>
      </c>
      <c r="D3" s="10" t="str">
        <f>_xlfn.XLOOKUP(C3, Mapping!$C:$C, Mapping!$E:$E, "Check ID")</f>
        <v>Phone Utilities</v>
      </c>
      <c r="E3" s="12" t="s">
        <v>336</v>
      </c>
      <c r="F3" s="13">
        <v>181</v>
      </c>
    </row>
    <row r="4" spans="1:6" x14ac:dyDescent="0.3">
      <c r="A4" s="9">
        <v>45663</v>
      </c>
      <c r="B4" s="10" t="s">
        <v>147</v>
      </c>
      <c r="C4" s="11">
        <v>816</v>
      </c>
      <c r="D4" s="10" t="str">
        <f>_xlfn.XLOOKUP(C4, Mapping!$C:$C, Mapping!$E:$E, "Check ID")</f>
        <v>Saving Account</v>
      </c>
      <c r="E4" s="12" t="s">
        <v>336</v>
      </c>
      <c r="F4" s="13">
        <v>2015</v>
      </c>
    </row>
    <row r="5" spans="1:6" x14ac:dyDescent="0.3">
      <c r="A5" s="9">
        <v>45664</v>
      </c>
      <c r="B5" s="10" t="s">
        <v>147</v>
      </c>
      <c r="C5" s="11">
        <v>559</v>
      </c>
      <c r="D5" s="10" t="str">
        <f>_xlfn.XLOOKUP(C5, Mapping!$C:$C, Mapping!$E:$E, "Check ID")</f>
        <v>Transfer</v>
      </c>
      <c r="E5" s="12" t="s">
        <v>336</v>
      </c>
      <c r="F5" s="13">
        <v>400</v>
      </c>
    </row>
    <row r="6" spans="1:6" x14ac:dyDescent="0.3">
      <c r="A6" s="9">
        <v>45667</v>
      </c>
      <c r="B6" s="10" t="s">
        <v>147</v>
      </c>
      <c r="C6" s="11">
        <v>4969</v>
      </c>
      <c r="D6" s="10" t="str">
        <f>_xlfn.XLOOKUP(C6, Mapping!$C:$C, Mapping!$E:$E, "Check ID")</f>
        <v>Phone Utilities</v>
      </c>
      <c r="E6" s="12" t="s">
        <v>336</v>
      </c>
      <c r="F6" s="13">
        <v>21</v>
      </c>
    </row>
    <row r="7" spans="1:6" x14ac:dyDescent="0.3">
      <c r="A7" s="9">
        <v>45667</v>
      </c>
      <c r="B7" s="10" t="s">
        <v>147</v>
      </c>
      <c r="C7" s="11">
        <v>1082</v>
      </c>
      <c r="D7" s="10" t="str">
        <f>_xlfn.XLOOKUP(C7, Mapping!$C:$C, Mapping!$E:$E, "Check ID")</f>
        <v>Transfer</v>
      </c>
      <c r="E7" s="12" t="s">
        <v>336</v>
      </c>
      <c r="F7" s="13">
        <v>3500</v>
      </c>
    </row>
    <row r="8" spans="1:6" x14ac:dyDescent="0.3">
      <c r="A8" s="9">
        <v>45669</v>
      </c>
      <c r="B8" s="10" t="s">
        <v>147</v>
      </c>
      <c r="C8" s="11">
        <v>5988</v>
      </c>
      <c r="D8" s="10" t="str">
        <f>_xlfn.XLOOKUP(C8, Mapping!$C:$C, Mapping!$E:$E, "Check ID")</f>
        <v>Undisclosed</v>
      </c>
      <c r="E8" s="12" t="s">
        <v>336</v>
      </c>
      <c r="F8" s="13">
        <v>700</v>
      </c>
    </row>
    <row r="9" spans="1:6" x14ac:dyDescent="0.3">
      <c r="A9" s="9">
        <v>45672</v>
      </c>
      <c r="B9" s="10" t="s">
        <v>147</v>
      </c>
      <c r="C9" s="11" t="s">
        <v>6</v>
      </c>
      <c r="D9" s="10" t="str">
        <f>_xlfn.XLOOKUP(C9, Mapping!$C:$C, Mapping!$E:$E, "Check ID")</f>
        <v>Government</v>
      </c>
      <c r="E9" s="12" t="s">
        <v>336</v>
      </c>
      <c r="F9" s="13">
        <v>12131.81</v>
      </c>
    </row>
    <row r="10" spans="1:6" x14ac:dyDescent="0.3">
      <c r="A10" s="9">
        <v>45673</v>
      </c>
      <c r="B10" s="10" t="s">
        <v>147</v>
      </c>
      <c r="C10" s="11">
        <v>1862</v>
      </c>
      <c r="D10" s="10" t="str">
        <f>_xlfn.XLOOKUP(C10, Mapping!$C:$C, Mapping!$E:$E, "Check ID")</f>
        <v>Transfer</v>
      </c>
      <c r="E10" s="12" t="s">
        <v>336</v>
      </c>
      <c r="F10" s="13">
        <v>7000</v>
      </c>
    </row>
    <row r="11" spans="1:6" x14ac:dyDescent="0.3">
      <c r="A11" s="9">
        <v>45673</v>
      </c>
      <c r="B11" s="10" t="s">
        <v>147</v>
      </c>
      <c r="C11" s="11">
        <v>9032</v>
      </c>
      <c r="D11" s="10" t="str">
        <f>_xlfn.XLOOKUP(C11, Mapping!$C:$C, Mapping!$E:$E, "Check ID")</f>
        <v>Transfer</v>
      </c>
      <c r="E11" s="12" t="s">
        <v>336</v>
      </c>
      <c r="F11" s="13">
        <v>10000</v>
      </c>
    </row>
    <row r="12" spans="1:6" x14ac:dyDescent="0.3">
      <c r="A12" s="9">
        <v>45674</v>
      </c>
      <c r="B12" s="10" t="s">
        <v>147</v>
      </c>
      <c r="C12" s="11">
        <v>816</v>
      </c>
      <c r="D12" s="10" t="str">
        <f>_xlfn.XLOOKUP(C12, Mapping!$C:$C, Mapping!$E:$E, "Check ID")</f>
        <v>Saving Account</v>
      </c>
      <c r="E12" s="12" t="s">
        <v>336</v>
      </c>
      <c r="F12" s="13">
        <v>24015</v>
      </c>
    </row>
    <row r="13" spans="1:6" x14ac:dyDescent="0.3">
      <c r="A13" s="9">
        <v>45676</v>
      </c>
      <c r="B13" s="10" t="s">
        <v>147</v>
      </c>
      <c r="C13" s="11">
        <v>3957</v>
      </c>
      <c r="D13" s="10" t="str">
        <f>_xlfn.XLOOKUP(C13, Mapping!$C:$C, Mapping!$E:$E, "Check ID")</f>
        <v>Phone Utilities</v>
      </c>
      <c r="E13" s="12" t="s">
        <v>336</v>
      </c>
      <c r="F13" s="13">
        <v>181</v>
      </c>
    </row>
    <row r="14" spans="1:6" x14ac:dyDescent="0.3">
      <c r="A14" s="9">
        <v>45677</v>
      </c>
      <c r="B14" s="10" t="s">
        <v>147</v>
      </c>
      <c r="C14" s="11" t="s">
        <v>123</v>
      </c>
      <c r="D14" s="10" t="str">
        <f>_xlfn.XLOOKUP(C14, Mapping!$C:$C, Mapping!$E:$E, "Check ID")</f>
        <v>Debt</v>
      </c>
      <c r="E14" s="12" t="s">
        <v>336</v>
      </c>
      <c r="F14" s="13">
        <v>2730.83</v>
      </c>
    </row>
    <row r="15" spans="1:6" x14ac:dyDescent="0.3">
      <c r="A15" s="9">
        <v>45677</v>
      </c>
      <c r="B15" s="10" t="s">
        <v>147</v>
      </c>
      <c r="C15" s="11">
        <v>1773</v>
      </c>
      <c r="D15" s="10" t="str">
        <f>_xlfn.XLOOKUP(C15, Mapping!$C:$C, Mapping!$E:$E, "Check ID")</f>
        <v>Transfer</v>
      </c>
      <c r="E15" s="12" t="s">
        <v>336</v>
      </c>
      <c r="F15" s="13">
        <v>3000</v>
      </c>
    </row>
    <row r="16" spans="1:6" x14ac:dyDescent="0.3">
      <c r="A16" s="9">
        <v>45682</v>
      </c>
      <c r="B16" s="10" t="s">
        <v>147</v>
      </c>
      <c r="C16" s="11">
        <v>7910</v>
      </c>
      <c r="D16" s="10" t="str">
        <f>_xlfn.XLOOKUP(C16, Mapping!$C:$C, Mapping!$E:$E, "Check ID")</f>
        <v>Transfer</v>
      </c>
      <c r="E16" s="12" t="s">
        <v>336</v>
      </c>
      <c r="F16" s="13">
        <v>1000</v>
      </c>
    </row>
    <row r="17" spans="1:6" x14ac:dyDescent="0.3">
      <c r="A17" s="9">
        <v>45687</v>
      </c>
      <c r="B17" s="10" t="s">
        <v>147</v>
      </c>
      <c r="C17" s="11">
        <v>9032</v>
      </c>
      <c r="D17" s="10" t="str">
        <f>_xlfn.XLOOKUP(C17, Mapping!$C:$C, Mapping!$E:$E, "Check ID")</f>
        <v>Transfer</v>
      </c>
      <c r="E17" s="12" t="s">
        <v>336</v>
      </c>
      <c r="F17" s="13">
        <v>10000</v>
      </c>
    </row>
    <row r="18" spans="1:6" x14ac:dyDescent="0.3">
      <c r="A18" s="9">
        <v>45688</v>
      </c>
      <c r="B18" s="10" t="s">
        <v>147</v>
      </c>
      <c r="C18" s="11">
        <v>7261</v>
      </c>
      <c r="D18" s="10" t="str">
        <f>_xlfn.XLOOKUP(C18, Mapping!$C:$C, Mapping!$E:$E, "Check ID")</f>
        <v>Transfer</v>
      </c>
      <c r="E18" s="12" t="s">
        <v>336</v>
      </c>
      <c r="F18" s="13">
        <v>5000</v>
      </c>
    </row>
    <row r="19" spans="1:6" x14ac:dyDescent="0.3">
      <c r="A19" s="9">
        <v>45688</v>
      </c>
      <c r="B19" s="10" t="s">
        <v>147</v>
      </c>
      <c r="C19" s="11">
        <v>7479</v>
      </c>
      <c r="D19" s="10" t="str">
        <f>_xlfn.XLOOKUP(C19, Mapping!$C:$C, Mapping!$E:$E, "Check ID")</f>
        <v>Transfer</v>
      </c>
      <c r="E19" s="12" t="s">
        <v>336</v>
      </c>
      <c r="F19" s="13">
        <v>2000</v>
      </c>
    </row>
    <row r="20" spans="1:6" x14ac:dyDescent="0.3">
      <c r="A20" s="9">
        <v>45660</v>
      </c>
      <c r="B20" s="10" t="s">
        <v>147</v>
      </c>
      <c r="C20" s="11">
        <v>384</v>
      </c>
      <c r="D20" s="10" t="str">
        <f>_xlfn.XLOOKUP(C20, Mapping!$C:$C, Mapping!$E:$E, "Check ID")</f>
        <v>Transfer</v>
      </c>
      <c r="E20" s="12" t="s">
        <v>337</v>
      </c>
      <c r="F20" s="13">
        <v>1500</v>
      </c>
    </row>
    <row r="21" spans="1:6" x14ac:dyDescent="0.3">
      <c r="A21" s="9">
        <v>45662</v>
      </c>
      <c r="B21" s="10" t="s">
        <v>147</v>
      </c>
      <c r="C21" s="11">
        <v>6406</v>
      </c>
      <c r="D21" s="10" t="str">
        <f>_xlfn.XLOOKUP(C21, Mapping!$C:$C, Mapping!$E:$E, "Check ID")</f>
        <v>Transfer</v>
      </c>
      <c r="E21" s="12" t="s">
        <v>337</v>
      </c>
      <c r="F21" s="13">
        <v>1800</v>
      </c>
    </row>
    <row r="22" spans="1:6" x14ac:dyDescent="0.3">
      <c r="A22" s="9">
        <v>45666</v>
      </c>
      <c r="B22" s="10" t="s">
        <v>147</v>
      </c>
      <c r="C22" s="11">
        <v>6807</v>
      </c>
      <c r="D22" s="10" t="str">
        <f>_xlfn.XLOOKUP(C22, Mapping!$C:$C, Mapping!$E:$E, "Check ID")</f>
        <v>Transfer</v>
      </c>
      <c r="E22" s="12" t="s">
        <v>337</v>
      </c>
      <c r="F22" s="13">
        <v>3000</v>
      </c>
    </row>
    <row r="23" spans="1:6" x14ac:dyDescent="0.3">
      <c r="A23" s="9">
        <v>45666</v>
      </c>
      <c r="B23" s="10" t="s">
        <v>147</v>
      </c>
      <c r="C23" s="11">
        <v>5097</v>
      </c>
      <c r="D23" s="10" t="str">
        <f>_xlfn.XLOOKUP(C23, Mapping!$C:$C, Mapping!$E:$E, "Check ID")</f>
        <v>Transfer</v>
      </c>
      <c r="E23" s="12" t="s">
        <v>337</v>
      </c>
      <c r="F23" s="13">
        <v>1500</v>
      </c>
    </row>
    <row r="24" spans="1:6" x14ac:dyDescent="0.3">
      <c r="A24" s="9">
        <v>45667</v>
      </c>
      <c r="B24" s="10" t="s">
        <v>147</v>
      </c>
      <c r="C24" s="11">
        <v>5572</v>
      </c>
      <c r="D24" s="10" t="str">
        <f>_xlfn.XLOOKUP(C24, Mapping!$C:$C, Mapping!$E:$E, "Check ID")</f>
        <v>Transfer</v>
      </c>
      <c r="E24" s="12" t="s">
        <v>337</v>
      </c>
      <c r="F24" s="13">
        <v>5173</v>
      </c>
    </row>
    <row r="25" spans="1:6" x14ac:dyDescent="0.3">
      <c r="A25" s="9">
        <v>45668</v>
      </c>
      <c r="B25" s="10" t="s">
        <v>147</v>
      </c>
      <c r="C25" s="11">
        <v>559</v>
      </c>
      <c r="D25" s="10" t="str">
        <f>_xlfn.XLOOKUP(C25, Mapping!$C:$C, Mapping!$E:$E, "Check ID")</f>
        <v>Transfer</v>
      </c>
      <c r="E25" s="12" t="s">
        <v>337</v>
      </c>
      <c r="F25" s="13">
        <v>400</v>
      </c>
    </row>
    <row r="26" spans="1:6" x14ac:dyDescent="0.3">
      <c r="A26" s="9">
        <v>45670</v>
      </c>
      <c r="B26" s="10" t="s">
        <v>147</v>
      </c>
      <c r="C26" s="11">
        <v>5763</v>
      </c>
      <c r="D26" s="10" t="str">
        <f>_xlfn.XLOOKUP(C26, Mapping!$C:$C, Mapping!$E:$E, "Check ID")</f>
        <v>Transfer</v>
      </c>
      <c r="E26" s="12" t="s">
        <v>337</v>
      </c>
      <c r="F26" s="13">
        <v>3600</v>
      </c>
    </row>
    <row r="27" spans="1:6" x14ac:dyDescent="0.3">
      <c r="A27" s="9">
        <v>45671</v>
      </c>
      <c r="B27" s="10" t="s">
        <v>147</v>
      </c>
      <c r="C27" s="11">
        <v>5672</v>
      </c>
      <c r="D27" s="10" t="str">
        <f>_xlfn.XLOOKUP(C27, Mapping!$C:$C, Mapping!$E:$E, "Check ID")</f>
        <v>Transfer</v>
      </c>
      <c r="E27" s="12" t="s">
        <v>337</v>
      </c>
      <c r="F27" s="13">
        <v>862</v>
      </c>
    </row>
    <row r="28" spans="1:6" x14ac:dyDescent="0.3">
      <c r="A28" s="9">
        <v>45672</v>
      </c>
      <c r="B28" s="10" t="s">
        <v>147</v>
      </c>
      <c r="C28" s="11">
        <v>7276</v>
      </c>
      <c r="D28" s="10" t="str">
        <f>_xlfn.XLOOKUP(C28, Mapping!$C:$C, Mapping!$E:$E, "Check ID")</f>
        <v>Transfer</v>
      </c>
      <c r="E28" s="12" t="s">
        <v>337</v>
      </c>
      <c r="F28" s="13">
        <v>3000</v>
      </c>
    </row>
    <row r="29" spans="1:6" x14ac:dyDescent="0.3">
      <c r="A29" s="9">
        <v>45672</v>
      </c>
      <c r="B29" s="10" t="s">
        <v>147</v>
      </c>
      <c r="C29" s="11">
        <v>1862</v>
      </c>
      <c r="D29" s="10" t="str">
        <f>_xlfn.XLOOKUP(C29, Mapping!$C:$C, Mapping!$E:$E, "Check ID")</f>
        <v>Transfer</v>
      </c>
      <c r="E29" s="12" t="s">
        <v>337</v>
      </c>
      <c r="F29" s="13">
        <v>1400</v>
      </c>
    </row>
    <row r="30" spans="1:6" x14ac:dyDescent="0.3">
      <c r="A30" s="9">
        <v>45672</v>
      </c>
      <c r="B30" s="10" t="s">
        <v>147</v>
      </c>
      <c r="C30" s="11">
        <v>295</v>
      </c>
      <c r="D30" s="10" t="str">
        <f>_xlfn.XLOOKUP(C30, Mapping!$C:$C, Mapping!$E:$E, "Check ID")</f>
        <v>Transfer</v>
      </c>
      <c r="E30" s="12" t="s">
        <v>337</v>
      </c>
      <c r="F30" s="13">
        <v>1600</v>
      </c>
    </row>
    <row r="31" spans="1:6" x14ac:dyDescent="0.3">
      <c r="A31" s="9">
        <v>45672</v>
      </c>
      <c r="B31" s="10" t="s">
        <v>147</v>
      </c>
      <c r="C31" s="11">
        <v>4530</v>
      </c>
      <c r="D31" s="10" t="str">
        <f>_xlfn.XLOOKUP(C31, Mapping!$C:$C, Mapping!$E:$E, "Check ID")</f>
        <v>Saving Account</v>
      </c>
      <c r="E31" s="12" t="s">
        <v>337</v>
      </c>
      <c r="F31" s="13">
        <v>5000</v>
      </c>
    </row>
    <row r="32" spans="1:6" x14ac:dyDescent="0.3">
      <c r="A32" s="9">
        <v>45672</v>
      </c>
      <c r="B32" s="10" t="s">
        <v>147</v>
      </c>
      <c r="C32" s="11">
        <v>9032</v>
      </c>
      <c r="D32" s="10" t="str">
        <f>_xlfn.XLOOKUP(C32, Mapping!$C:$C, Mapping!$E:$E, "Check ID")</f>
        <v>Transfer</v>
      </c>
      <c r="E32" s="12" t="s">
        <v>337</v>
      </c>
      <c r="F32" s="13">
        <v>2000</v>
      </c>
    </row>
    <row r="33" spans="1:6" x14ac:dyDescent="0.3">
      <c r="A33" s="9">
        <v>45673</v>
      </c>
      <c r="B33" s="10" t="s">
        <v>147</v>
      </c>
      <c r="C33" s="11">
        <v>7904</v>
      </c>
      <c r="D33" s="10" t="str">
        <f>_xlfn.XLOOKUP(C33, Mapping!$C:$C, Mapping!$E:$E, "Check ID")</f>
        <v>Transfer</v>
      </c>
      <c r="E33" s="12" t="s">
        <v>337</v>
      </c>
      <c r="F33" s="13">
        <v>2000</v>
      </c>
    </row>
    <row r="34" spans="1:6" x14ac:dyDescent="0.3">
      <c r="A34" s="9">
        <v>45673</v>
      </c>
      <c r="B34" s="10" t="s">
        <v>147</v>
      </c>
      <c r="C34" s="11">
        <v>7096</v>
      </c>
      <c r="D34" s="10" t="str">
        <f>_xlfn.XLOOKUP(C34, Mapping!$C:$C, Mapping!$E:$E, "Check ID")</f>
        <v>Transfer</v>
      </c>
      <c r="E34" s="12" t="s">
        <v>337</v>
      </c>
      <c r="F34" s="13">
        <v>2000</v>
      </c>
    </row>
    <row r="35" spans="1:6" x14ac:dyDescent="0.3">
      <c r="A35" s="9">
        <v>45674</v>
      </c>
      <c r="B35" s="10" t="s">
        <v>147</v>
      </c>
      <c r="C35" s="11">
        <v>6406</v>
      </c>
      <c r="D35" s="10" t="str">
        <f>_xlfn.XLOOKUP(C35, Mapping!$C:$C, Mapping!$E:$E, "Check ID")</f>
        <v>Transfer</v>
      </c>
      <c r="E35" s="12" t="s">
        <v>337</v>
      </c>
      <c r="F35" s="13">
        <v>1800</v>
      </c>
    </row>
    <row r="36" spans="1:6" x14ac:dyDescent="0.3">
      <c r="A36" s="9">
        <v>45675</v>
      </c>
      <c r="B36" s="10" t="s">
        <v>147</v>
      </c>
      <c r="C36" s="11">
        <v>7261</v>
      </c>
      <c r="D36" s="10" t="str">
        <f>_xlfn.XLOOKUP(C36, Mapping!$C:$C, Mapping!$E:$E, "Check ID")</f>
        <v>Transfer</v>
      </c>
      <c r="E36" s="12" t="s">
        <v>337</v>
      </c>
      <c r="F36" s="13">
        <v>1200</v>
      </c>
    </row>
    <row r="37" spans="1:6" x14ac:dyDescent="0.3">
      <c r="A37" s="9">
        <v>45675</v>
      </c>
      <c r="B37" s="10" t="s">
        <v>147</v>
      </c>
      <c r="C37" s="11" t="s">
        <v>3</v>
      </c>
      <c r="D37" s="10" t="str">
        <f>_xlfn.XLOOKUP(C37, Mapping!$C:$C, Mapping!$E:$E, "Check ID")</f>
        <v>Investment</v>
      </c>
      <c r="E37" s="12" t="s">
        <v>337</v>
      </c>
      <c r="F37" s="13">
        <v>27.01</v>
      </c>
    </row>
    <row r="38" spans="1:6" x14ac:dyDescent="0.3">
      <c r="A38" s="9">
        <v>45676</v>
      </c>
      <c r="B38" s="10" t="s">
        <v>147</v>
      </c>
      <c r="C38" s="11">
        <v>308</v>
      </c>
      <c r="D38" s="10" t="str">
        <f>_xlfn.XLOOKUP(C38, Mapping!$C:$C, Mapping!$E:$E, "Check ID")</f>
        <v>Transfer</v>
      </c>
      <c r="E38" s="12" t="s">
        <v>337</v>
      </c>
      <c r="F38" s="13">
        <v>1000</v>
      </c>
    </row>
    <row r="39" spans="1:6" x14ac:dyDescent="0.3">
      <c r="A39" s="9">
        <v>45676</v>
      </c>
      <c r="B39" s="10" t="s">
        <v>147</v>
      </c>
      <c r="C39" s="11">
        <v>5854</v>
      </c>
      <c r="D39" s="10" t="str">
        <f>_xlfn.XLOOKUP(C39, Mapping!$C:$C, Mapping!$E:$E, "Check ID")</f>
        <v>Transfer</v>
      </c>
      <c r="E39" s="12" t="s">
        <v>337</v>
      </c>
      <c r="F39" s="13">
        <v>1500</v>
      </c>
    </row>
    <row r="40" spans="1:6" x14ac:dyDescent="0.3">
      <c r="A40" s="9">
        <v>45676</v>
      </c>
      <c r="B40" s="10" t="s">
        <v>147</v>
      </c>
      <c r="C40" s="11">
        <v>8072</v>
      </c>
      <c r="D40" s="10" t="str">
        <f>_xlfn.XLOOKUP(C40, Mapping!$C:$C, Mapping!$E:$E, "Check ID")</f>
        <v>Transfer</v>
      </c>
      <c r="E40" s="12" t="s">
        <v>337</v>
      </c>
      <c r="F40" s="13">
        <v>1500</v>
      </c>
    </row>
    <row r="41" spans="1:6" x14ac:dyDescent="0.3">
      <c r="A41" s="9">
        <v>45682</v>
      </c>
      <c r="B41" s="10" t="s">
        <v>147</v>
      </c>
      <c r="C41" s="11">
        <v>7133</v>
      </c>
      <c r="D41" s="10" t="str">
        <f>_xlfn.XLOOKUP(C41, Mapping!$C:$C, Mapping!$E:$E, "Check ID")</f>
        <v>Transfer</v>
      </c>
      <c r="E41" s="12" t="s">
        <v>337</v>
      </c>
      <c r="F41" s="13">
        <v>1500</v>
      </c>
    </row>
    <row r="42" spans="1:6" x14ac:dyDescent="0.3">
      <c r="A42" s="9">
        <v>45687</v>
      </c>
      <c r="B42" s="10" t="s">
        <v>147</v>
      </c>
      <c r="C42" s="11">
        <v>1862</v>
      </c>
      <c r="D42" s="10" t="str">
        <f>_xlfn.XLOOKUP(C42, Mapping!$C:$C, Mapping!$E:$E, "Check ID")</f>
        <v>Transfer</v>
      </c>
      <c r="E42" s="12" t="s">
        <v>337</v>
      </c>
      <c r="F42" s="13">
        <v>1400</v>
      </c>
    </row>
    <row r="43" spans="1:6" x14ac:dyDescent="0.3">
      <c r="A43" s="9">
        <v>45687</v>
      </c>
      <c r="B43" s="10" t="s">
        <v>147</v>
      </c>
      <c r="C43" s="11">
        <v>7910</v>
      </c>
      <c r="D43" s="10" t="str">
        <f>_xlfn.XLOOKUP(C43, Mapping!$C:$C, Mapping!$E:$E, "Check ID")</f>
        <v>Transfer</v>
      </c>
      <c r="E43" s="12" t="s">
        <v>337</v>
      </c>
      <c r="F43" s="13">
        <v>1200</v>
      </c>
    </row>
    <row r="44" spans="1:6" x14ac:dyDescent="0.3">
      <c r="A44" s="9">
        <v>45687</v>
      </c>
      <c r="B44" s="10" t="s">
        <v>147</v>
      </c>
      <c r="C44" s="11">
        <v>9032</v>
      </c>
      <c r="D44" s="10" t="str">
        <f>_xlfn.XLOOKUP(C44, Mapping!$C:$C, Mapping!$E:$E, "Check ID")</f>
        <v>Transfer</v>
      </c>
      <c r="E44" s="12" t="s">
        <v>337</v>
      </c>
      <c r="F44" s="13">
        <v>2000</v>
      </c>
    </row>
    <row r="45" spans="1:6" x14ac:dyDescent="0.3">
      <c r="A45" s="9">
        <v>45687</v>
      </c>
      <c r="B45" s="10" t="s">
        <v>147</v>
      </c>
      <c r="C45" s="11" t="s">
        <v>53</v>
      </c>
      <c r="D45" s="10" t="str">
        <f>_xlfn.XLOOKUP(C45, Mapping!$C:$C, Mapping!$E:$E, "Check ID")</f>
        <v>Transfer</v>
      </c>
      <c r="E45" s="12" t="s">
        <v>337</v>
      </c>
      <c r="F45" s="13">
        <v>3000</v>
      </c>
    </row>
    <row r="46" spans="1:6" x14ac:dyDescent="0.3">
      <c r="A46" s="9">
        <v>45687</v>
      </c>
      <c r="B46" s="10" t="s">
        <v>147</v>
      </c>
      <c r="C46" s="11">
        <v>7276</v>
      </c>
      <c r="D46" s="10" t="str">
        <f>_xlfn.XLOOKUP(C46, Mapping!$C:$C, Mapping!$E:$E, "Check ID")</f>
        <v>Transfer</v>
      </c>
      <c r="E46" s="12" t="s">
        <v>337</v>
      </c>
      <c r="F46" s="13">
        <v>3000</v>
      </c>
    </row>
    <row r="47" spans="1:6" x14ac:dyDescent="0.3">
      <c r="A47" s="9">
        <v>45687</v>
      </c>
      <c r="B47" s="10" t="s">
        <v>147</v>
      </c>
      <c r="C47" s="11">
        <v>1082</v>
      </c>
      <c r="D47" s="10" t="str">
        <f>_xlfn.XLOOKUP(C47, Mapping!$C:$C, Mapping!$E:$E, "Check ID")</f>
        <v>Transfer</v>
      </c>
      <c r="E47" s="12" t="s">
        <v>337</v>
      </c>
      <c r="F47" s="13">
        <v>700</v>
      </c>
    </row>
    <row r="48" spans="1:6" x14ac:dyDescent="0.3">
      <c r="A48" s="9">
        <v>45687</v>
      </c>
      <c r="B48" s="10" t="s">
        <v>147</v>
      </c>
      <c r="C48" s="11">
        <v>9162</v>
      </c>
      <c r="D48" s="10" t="str">
        <f>_xlfn.XLOOKUP(C48, Mapping!$C:$C, Mapping!$E:$E, "Check ID")</f>
        <v>Transfer</v>
      </c>
      <c r="E48" s="12" t="s">
        <v>337</v>
      </c>
      <c r="F48" s="13">
        <v>2000</v>
      </c>
    </row>
    <row r="49" spans="1:6" x14ac:dyDescent="0.3">
      <c r="A49" s="9">
        <v>45689</v>
      </c>
      <c r="B49" s="10" t="s">
        <v>362</v>
      </c>
      <c r="C49" s="11">
        <v>816</v>
      </c>
      <c r="D49" s="10" t="str">
        <f>_xlfn.XLOOKUP(C49, Mapping!$C:$C, Mapping!$E:$E, "Check ID")</f>
        <v>Saving Account</v>
      </c>
      <c r="E49" s="12" t="s">
        <v>336</v>
      </c>
      <c r="F49" s="13">
        <v>32515</v>
      </c>
    </row>
    <row r="50" spans="1:6" x14ac:dyDescent="0.3">
      <c r="A50" s="9">
        <v>45690</v>
      </c>
      <c r="B50" s="10" t="s">
        <v>362</v>
      </c>
      <c r="C50" s="11">
        <v>1862</v>
      </c>
      <c r="D50" s="10" t="str">
        <f>_xlfn.XLOOKUP(C50, Mapping!$C:$C, Mapping!$E:$E, "Check ID")</f>
        <v>Transfer</v>
      </c>
      <c r="E50" s="12" t="s">
        <v>336</v>
      </c>
      <c r="F50" s="13">
        <v>10000</v>
      </c>
    </row>
    <row r="51" spans="1:6" x14ac:dyDescent="0.3">
      <c r="A51" s="9">
        <v>45690</v>
      </c>
      <c r="B51" s="10" t="s">
        <v>362</v>
      </c>
      <c r="C51" s="11">
        <v>816</v>
      </c>
      <c r="D51" s="10" t="str">
        <f>_xlfn.XLOOKUP(C51, Mapping!$C:$C, Mapping!$E:$E, "Check ID")</f>
        <v>Saving Account</v>
      </c>
      <c r="E51" s="12" t="s">
        <v>336</v>
      </c>
      <c r="F51" s="13">
        <v>5515</v>
      </c>
    </row>
    <row r="52" spans="1:6" x14ac:dyDescent="0.3">
      <c r="A52" s="9">
        <v>45691</v>
      </c>
      <c r="B52" s="10" t="s">
        <v>362</v>
      </c>
      <c r="C52" s="11">
        <v>3957</v>
      </c>
      <c r="D52" s="10" t="str">
        <f>_xlfn.XLOOKUP(C52, Mapping!$C:$C, Mapping!$E:$E, "Check ID")</f>
        <v>Phone Utilities</v>
      </c>
      <c r="E52" s="12" t="s">
        <v>336</v>
      </c>
      <c r="F52" s="13">
        <v>151</v>
      </c>
    </row>
    <row r="53" spans="1:6" x14ac:dyDescent="0.3">
      <c r="A53" s="9">
        <v>45696</v>
      </c>
      <c r="B53" s="10" t="s">
        <v>362</v>
      </c>
      <c r="C53" s="11">
        <v>7910</v>
      </c>
      <c r="D53" s="10" t="str">
        <f>_xlfn.XLOOKUP(C53, Mapping!$C:$C, Mapping!$E:$E, "Check ID")</f>
        <v>Transfer</v>
      </c>
      <c r="E53" s="12" t="s">
        <v>336</v>
      </c>
      <c r="F53" s="13">
        <v>1000</v>
      </c>
    </row>
    <row r="54" spans="1:6" x14ac:dyDescent="0.3">
      <c r="A54" s="9">
        <v>45700</v>
      </c>
      <c r="B54" s="10" t="s">
        <v>362</v>
      </c>
      <c r="C54" s="11">
        <v>1082</v>
      </c>
      <c r="D54" s="10" t="str">
        <f>_xlfn.XLOOKUP(C54, Mapping!$C:$C, Mapping!$E:$E, "Check ID")</f>
        <v>Transfer</v>
      </c>
      <c r="E54" s="12" t="s">
        <v>336</v>
      </c>
      <c r="F54" s="13">
        <v>2500</v>
      </c>
    </row>
    <row r="55" spans="1:6" x14ac:dyDescent="0.3">
      <c r="A55" s="9">
        <v>45702</v>
      </c>
      <c r="B55" s="10" t="s">
        <v>362</v>
      </c>
      <c r="C55" s="11">
        <v>1082</v>
      </c>
      <c r="D55" s="10" t="str">
        <f>_xlfn.XLOOKUP(C55, Mapping!$C:$C, Mapping!$E:$E, "Check ID")</f>
        <v>Transfer</v>
      </c>
      <c r="E55" s="12" t="s">
        <v>336</v>
      </c>
      <c r="F55" s="13">
        <v>3500</v>
      </c>
    </row>
    <row r="56" spans="1:6" x14ac:dyDescent="0.3">
      <c r="A56" s="9">
        <v>45702</v>
      </c>
      <c r="B56" s="10" t="s">
        <v>362</v>
      </c>
      <c r="C56" s="11">
        <v>7336</v>
      </c>
      <c r="D56" s="10" t="str">
        <f>_xlfn.XLOOKUP(C56, Mapping!$C:$C, Mapping!$E:$E, "Check ID")</f>
        <v>Transfer</v>
      </c>
      <c r="E56" s="12" t="s">
        <v>336</v>
      </c>
      <c r="F56" s="13">
        <v>5000</v>
      </c>
    </row>
    <row r="57" spans="1:6" x14ac:dyDescent="0.3">
      <c r="A57" s="9">
        <v>45703</v>
      </c>
      <c r="B57" s="10" t="s">
        <v>362</v>
      </c>
      <c r="C57" s="11">
        <v>9032</v>
      </c>
      <c r="D57" s="10" t="str">
        <f>_xlfn.XLOOKUP(C57, Mapping!$C:$C, Mapping!$E:$E, "Check ID")</f>
        <v>Transfer</v>
      </c>
      <c r="E57" s="12" t="s">
        <v>336</v>
      </c>
      <c r="F57" s="13">
        <v>10000</v>
      </c>
    </row>
    <row r="58" spans="1:6" x14ac:dyDescent="0.3">
      <c r="A58" s="9">
        <v>45703</v>
      </c>
      <c r="B58" s="10" t="s">
        <v>362</v>
      </c>
      <c r="C58" s="11">
        <v>816</v>
      </c>
      <c r="D58" s="10" t="str">
        <f>_xlfn.XLOOKUP(C58, Mapping!$C:$C, Mapping!$E:$E, "Check ID")</f>
        <v>Saving Account</v>
      </c>
      <c r="E58" s="12" t="s">
        <v>336</v>
      </c>
      <c r="F58" s="13">
        <v>34015</v>
      </c>
    </row>
    <row r="59" spans="1:6" x14ac:dyDescent="0.3">
      <c r="A59" s="9">
        <v>45704</v>
      </c>
      <c r="B59" s="10" t="s">
        <v>362</v>
      </c>
      <c r="C59" s="11">
        <v>4690</v>
      </c>
      <c r="D59" s="10" t="str">
        <f>_xlfn.XLOOKUP(C59, Mapping!$C:$C, Mapping!$E:$E, "Check ID")</f>
        <v>Terra Transfer</v>
      </c>
      <c r="E59" s="12" t="s">
        <v>336</v>
      </c>
      <c r="F59" s="13">
        <v>2000</v>
      </c>
    </row>
    <row r="60" spans="1:6" x14ac:dyDescent="0.3">
      <c r="A60" s="9">
        <v>45705</v>
      </c>
      <c r="B60" s="10" t="s">
        <v>362</v>
      </c>
      <c r="C60" s="11">
        <v>529</v>
      </c>
      <c r="D60" s="10" t="str">
        <f>_xlfn.XLOOKUP(C60, Mapping!$C:$C, Mapping!$E:$E, "Check ID")</f>
        <v>Transfer</v>
      </c>
      <c r="E60" s="12" t="s">
        <v>336</v>
      </c>
      <c r="F60" s="13">
        <v>5000</v>
      </c>
    </row>
    <row r="61" spans="1:6" x14ac:dyDescent="0.3">
      <c r="A61" s="9">
        <v>45705</v>
      </c>
      <c r="B61" s="10" t="s">
        <v>362</v>
      </c>
      <c r="C61" s="11">
        <v>3957</v>
      </c>
      <c r="D61" s="10" t="str">
        <f>_xlfn.XLOOKUP(C61, Mapping!$C:$C, Mapping!$E:$E, "Check ID")</f>
        <v>Phone Utilities</v>
      </c>
      <c r="E61" s="12" t="s">
        <v>336</v>
      </c>
      <c r="F61" s="13">
        <v>181</v>
      </c>
    </row>
    <row r="62" spans="1:6" x14ac:dyDescent="0.3">
      <c r="A62" s="9">
        <v>45708</v>
      </c>
      <c r="B62" s="10" t="s">
        <v>362</v>
      </c>
      <c r="C62" s="11" t="s">
        <v>123</v>
      </c>
      <c r="D62" s="10" t="str">
        <f>_xlfn.XLOOKUP(C62, Mapping!$C:$C, Mapping!$E:$E, "Check ID")</f>
        <v>Debt</v>
      </c>
      <c r="E62" s="12" t="s">
        <v>336</v>
      </c>
      <c r="F62" s="13">
        <v>2730.83</v>
      </c>
    </row>
    <row r="63" spans="1:6" x14ac:dyDescent="0.3">
      <c r="A63" s="9">
        <v>45708</v>
      </c>
      <c r="B63" s="10" t="s">
        <v>362</v>
      </c>
      <c r="C63" s="11">
        <v>2037</v>
      </c>
      <c r="D63" s="10" t="str">
        <f>_xlfn.XLOOKUP(C63, Mapping!$C:$C, Mapping!$E:$E, "Check ID")</f>
        <v>Undisclosed</v>
      </c>
      <c r="E63" s="12" t="s">
        <v>336</v>
      </c>
      <c r="F63" s="13">
        <v>1000</v>
      </c>
    </row>
    <row r="64" spans="1:6" x14ac:dyDescent="0.3">
      <c r="A64" s="9">
        <v>45711</v>
      </c>
      <c r="B64" s="10" t="s">
        <v>362</v>
      </c>
      <c r="C64" s="11">
        <v>5715</v>
      </c>
      <c r="D64" s="10" t="str">
        <f>_xlfn.XLOOKUP(C64, Mapping!$C:$C, Mapping!$E:$E, "Check ID")</f>
        <v>Undisclosed</v>
      </c>
      <c r="E64" s="12" t="s">
        <v>336</v>
      </c>
      <c r="F64" s="13">
        <v>290</v>
      </c>
    </row>
    <row r="65" spans="1:6" x14ac:dyDescent="0.3">
      <c r="A65" s="9">
        <v>45714</v>
      </c>
      <c r="B65" s="10" t="s">
        <v>362</v>
      </c>
      <c r="C65" s="11">
        <v>2488</v>
      </c>
      <c r="D65" s="10" t="str">
        <f>_xlfn.XLOOKUP(C65, Mapping!$C:$C, Mapping!$E:$E, "Check ID")</f>
        <v>Undisclosed</v>
      </c>
      <c r="E65" s="12" t="s">
        <v>336</v>
      </c>
      <c r="F65" s="13">
        <v>2015</v>
      </c>
    </row>
    <row r="66" spans="1:6" x14ac:dyDescent="0.3">
      <c r="A66" s="9">
        <v>45690</v>
      </c>
      <c r="B66" s="10" t="s">
        <v>362</v>
      </c>
      <c r="C66" s="11">
        <v>1773</v>
      </c>
      <c r="D66" s="10" t="str">
        <f>_xlfn.XLOOKUP(C66, Mapping!$C:$C, Mapping!$E:$E, "Check ID")</f>
        <v>Transfer</v>
      </c>
      <c r="E66" s="12" t="s">
        <v>337</v>
      </c>
      <c r="F66" s="13">
        <v>4000</v>
      </c>
    </row>
    <row r="67" spans="1:6" x14ac:dyDescent="0.3">
      <c r="A67" s="9">
        <v>45690</v>
      </c>
      <c r="B67" s="10" t="s">
        <v>362</v>
      </c>
      <c r="C67" s="11">
        <v>6807</v>
      </c>
      <c r="D67" s="10" t="str">
        <f>_xlfn.XLOOKUP(C67, Mapping!$C:$C, Mapping!$E:$E, "Check ID")</f>
        <v>Transfer</v>
      </c>
      <c r="E67" s="12" t="s">
        <v>337</v>
      </c>
      <c r="F67" s="13">
        <v>3000</v>
      </c>
    </row>
    <row r="68" spans="1:6" x14ac:dyDescent="0.3">
      <c r="A68" s="9">
        <v>45690</v>
      </c>
      <c r="B68" s="10" t="s">
        <v>362</v>
      </c>
      <c r="C68" s="11">
        <v>8497</v>
      </c>
      <c r="D68" s="10" t="str">
        <f>_xlfn.XLOOKUP(C68, Mapping!$C:$C, Mapping!$E:$E, "Check ID")</f>
        <v>Transfer</v>
      </c>
      <c r="E68" s="12" t="s">
        <v>337</v>
      </c>
      <c r="F68" s="13">
        <v>5500</v>
      </c>
    </row>
    <row r="69" spans="1:6" x14ac:dyDescent="0.3">
      <c r="A69" s="9">
        <v>45699</v>
      </c>
      <c r="B69" s="10" t="s">
        <v>362</v>
      </c>
      <c r="C69" s="11">
        <v>5791</v>
      </c>
      <c r="D69" s="10" t="str">
        <f>_xlfn.XLOOKUP(C69, Mapping!$C:$C, Mapping!$E:$E, "Check ID")</f>
        <v>Transfer</v>
      </c>
      <c r="E69" s="12" t="s">
        <v>337</v>
      </c>
      <c r="F69" s="13">
        <v>2000</v>
      </c>
    </row>
    <row r="70" spans="1:6" x14ac:dyDescent="0.3">
      <c r="A70" s="9">
        <v>45699</v>
      </c>
      <c r="B70" s="10" t="s">
        <v>362</v>
      </c>
      <c r="C70" s="11">
        <v>308</v>
      </c>
      <c r="D70" s="10" t="str">
        <f>_xlfn.XLOOKUP(C70, Mapping!$C:$C, Mapping!$E:$E, "Check ID")</f>
        <v>Transfer</v>
      </c>
      <c r="E70" s="12" t="s">
        <v>337</v>
      </c>
      <c r="F70" s="13">
        <v>1000</v>
      </c>
    </row>
    <row r="71" spans="1:6" x14ac:dyDescent="0.3">
      <c r="A71" s="9">
        <v>45702</v>
      </c>
      <c r="B71" s="10" t="s">
        <v>362</v>
      </c>
      <c r="C71" s="11">
        <v>295</v>
      </c>
      <c r="D71" s="10" t="str">
        <f>_xlfn.XLOOKUP(C71, Mapping!$C:$C, Mapping!$E:$E, "Check ID")</f>
        <v>Transfer</v>
      </c>
      <c r="E71" s="12" t="s">
        <v>337</v>
      </c>
      <c r="F71" s="13">
        <v>1600</v>
      </c>
    </row>
    <row r="72" spans="1:6" x14ac:dyDescent="0.3">
      <c r="A72" s="9">
        <v>45702</v>
      </c>
      <c r="B72" s="10" t="s">
        <v>362</v>
      </c>
      <c r="C72" s="11">
        <v>7276</v>
      </c>
      <c r="D72" s="10" t="str">
        <f>_xlfn.XLOOKUP(C72, Mapping!$C:$C, Mapping!$E:$E, "Check ID")</f>
        <v>Transfer</v>
      </c>
      <c r="E72" s="12" t="s">
        <v>337</v>
      </c>
      <c r="F72" s="13">
        <v>3000</v>
      </c>
    </row>
    <row r="73" spans="1:6" x14ac:dyDescent="0.3">
      <c r="A73" s="9">
        <v>45703</v>
      </c>
      <c r="B73" s="10" t="s">
        <v>362</v>
      </c>
      <c r="C73" s="11">
        <v>7910</v>
      </c>
      <c r="D73" s="10" t="str">
        <f>_xlfn.XLOOKUP(C73, Mapping!$C:$C, Mapping!$E:$E, "Check ID")</f>
        <v>Transfer</v>
      </c>
      <c r="E73" s="12" t="s">
        <v>337</v>
      </c>
      <c r="F73" s="13">
        <v>2400</v>
      </c>
    </row>
    <row r="74" spans="1:6" x14ac:dyDescent="0.3">
      <c r="A74" s="9">
        <v>45703</v>
      </c>
      <c r="B74" s="10" t="s">
        <v>362</v>
      </c>
      <c r="C74" s="11">
        <v>9032</v>
      </c>
      <c r="D74" s="10" t="str">
        <f>_xlfn.XLOOKUP(C74, Mapping!$C:$C, Mapping!$E:$E, "Check ID")</f>
        <v>Transfer</v>
      </c>
      <c r="E74" s="12" t="s">
        <v>337</v>
      </c>
      <c r="F74" s="13">
        <v>2000</v>
      </c>
    </row>
    <row r="75" spans="1:6" x14ac:dyDescent="0.3">
      <c r="A75" s="9">
        <v>45703</v>
      </c>
      <c r="B75" s="10" t="s">
        <v>362</v>
      </c>
      <c r="C75" s="11">
        <v>7479</v>
      </c>
      <c r="D75" s="10" t="str">
        <f>_xlfn.XLOOKUP(C75, Mapping!$C:$C, Mapping!$E:$E, "Check ID")</f>
        <v>Transfer</v>
      </c>
      <c r="E75" s="12" t="s">
        <v>337</v>
      </c>
      <c r="F75" s="13">
        <v>2400</v>
      </c>
    </row>
    <row r="76" spans="1:6" x14ac:dyDescent="0.3">
      <c r="A76" s="9">
        <v>45703</v>
      </c>
      <c r="B76" s="10" t="s">
        <v>362</v>
      </c>
      <c r="C76" s="11">
        <v>6807</v>
      </c>
      <c r="D76" s="10" t="str">
        <f>_xlfn.XLOOKUP(C76, Mapping!$C:$C, Mapping!$E:$E, "Check ID")</f>
        <v>Transfer</v>
      </c>
      <c r="E76" s="12" t="s">
        <v>337</v>
      </c>
      <c r="F76" s="13">
        <v>3000</v>
      </c>
    </row>
    <row r="77" spans="1:6" x14ac:dyDescent="0.3">
      <c r="A77" s="9">
        <v>45703</v>
      </c>
      <c r="B77" s="10" t="s">
        <v>362</v>
      </c>
      <c r="C77" s="11">
        <v>3113</v>
      </c>
      <c r="D77" s="10" t="str">
        <f>_xlfn.XLOOKUP(C77, Mapping!$C:$C, Mapping!$E:$E, "Check ID")</f>
        <v>Transfer</v>
      </c>
      <c r="E77" s="12" t="s">
        <v>337</v>
      </c>
      <c r="F77" s="13">
        <v>16000</v>
      </c>
    </row>
    <row r="78" spans="1:6" x14ac:dyDescent="0.3">
      <c r="A78" s="9">
        <v>45703</v>
      </c>
      <c r="B78" s="10" t="s">
        <v>362</v>
      </c>
      <c r="C78" s="11">
        <v>6406</v>
      </c>
      <c r="D78" s="10" t="str">
        <f>_xlfn.XLOOKUP(C78, Mapping!$C:$C, Mapping!$E:$E, "Check ID")</f>
        <v>Transfer</v>
      </c>
      <c r="E78" s="12" t="s">
        <v>337</v>
      </c>
      <c r="F78" s="13">
        <v>1800</v>
      </c>
    </row>
    <row r="79" spans="1:6" x14ac:dyDescent="0.3">
      <c r="A79" s="9">
        <v>45703</v>
      </c>
      <c r="B79" s="10" t="s">
        <v>362</v>
      </c>
      <c r="C79" s="11">
        <v>7096</v>
      </c>
      <c r="D79" s="10" t="str">
        <f>_xlfn.XLOOKUP(C79, Mapping!$C:$C, Mapping!$E:$E, "Check ID")</f>
        <v>Transfer</v>
      </c>
      <c r="E79" s="12" t="s">
        <v>337</v>
      </c>
      <c r="F79" s="13">
        <v>2000</v>
      </c>
    </row>
    <row r="80" spans="1:6" x14ac:dyDescent="0.3">
      <c r="A80" s="9">
        <v>45707</v>
      </c>
      <c r="B80" s="10" t="s">
        <v>362</v>
      </c>
      <c r="C80" s="11">
        <v>5854</v>
      </c>
      <c r="D80" s="10" t="str">
        <f>_xlfn.XLOOKUP(C80, Mapping!$C:$C, Mapping!$E:$E, "Check ID")</f>
        <v>Transfer</v>
      </c>
      <c r="E80" s="12" t="s">
        <v>337</v>
      </c>
      <c r="F80" s="13">
        <v>2000</v>
      </c>
    </row>
    <row r="81" spans="1:6" x14ac:dyDescent="0.3">
      <c r="A81" s="9">
        <v>45708</v>
      </c>
      <c r="B81" s="10" t="s">
        <v>362</v>
      </c>
      <c r="C81" s="11">
        <v>7261</v>
      </c>
      <c r="D81" s="10" t="str">
        <f>_xlfn.XLOOKUP(C81, Mapping!$C:$C, Mapping!$E:$E, "Check ID")</f>
        <v>Transfer</v>
      </c>
      <c r="E81" s="12" t="s">
        <v>337</v>
      </c>
      <c r="F81" s="13">
        <v>3000</v>
      </c>
    </row>
    <row r="82" spans="1:6" x14ac:dyDescent="0.3">
      <c r="A82" s="9">
        <v>45710</v>
      </c>
      <c r="B82" s="10" t="s">
        <v>362</v>
      </c>
      <c r="C82" s="11">
        <v>7507</v>
      </c>
      <c r="D82" s="10" t="str">
        <f>_xlfn.XLOOKUP(C82, Mapping!$C:$C, Mapping!$E:$E, "Check ID")</f>
        <v>Transfer</v>
      </c>
      <c r="E82" s="12" t="s">
        <v>337</v>
      </c>
      <c r="F82" s="13">
        <v>431</v>
      </c>
    </row>
    <row r="83" spans="1:6" x14ac:dyDescent="0.3">
      <c r="A83" s="9">
        <v>45710</v>
      </c>
      <c r="B83" s="10" t="s">
        <v>362</v>
      </c>
      <c r="C83" s="11">
        <v>4360</v>
      </c>
      <c r="D83" s="10" t="str">
        <f>_xlfn.XLOOKUP(C83, Mapping!$C:$C, Mapping!$E:$E, "Check ID")</f>
        <v>Transfer</v>
      </c>
      <c r="E83" s="12" t="s">
        <v>337</v>
      </c>
      <c r="F83" s="13">
        <v>1500</v>
      </c>
    </row>
    <row r="84" spans="1:6" x14ac:dyDescent="0.3">
      <c r="A84" s="9">
        <v>45716</v>
      </c>
      <c r="B84" s="10" t="s">
        <v>362</v>
      </c>
      <c r="C84" s="11">
        <v>295</v>
      </c>
      <c r="D84" s="10" t="str">
        <f>_xlfn.XLOOKUP(C84, Mapping!$C:$C, Mapping!$E:$E, "Check ID")</f>
        <v>Transfer</v>
      </c>
      <c r="E84" s="12" t="s">
        <v>337</v>
      </c>
      <c r="F84" s="13">
        <v>1600</v>
      </c>
    </row>
    <row r="85" spans="1:6" x14ac:dyDescent="0.3">
      <c r="A85" s="9">
        <v>45716</v>
      </c>
      <c r="B85" s="10" t="s">
        <v>362</v>
      </c>
      <c r="C85" s="11">
        <v>9032</v>
      </c>
      <c r="D85" s="10" t="str">
        <f>_xlfn.XLOOKUP(C85, Mapping!$C:$C, Mapping!$E:$E, "Check ID")</f>
        <v>Transfer</v>
      </c>
      <c r="E85" s="12" t="s">
        <v>337</v>
      </c>
      <c r="F85" s="13">
        <v>2000</v>
      </c>
    </row>
    <row r="86" spans="1:6" x14ac:dyDescent="0.3">
      <c r="A86" s="9">
        <v>45716</v>
      </c>
      <c r="B86" s="10" t="s">
        <v>362</v>
      </c>
      <c r="C86" s="11">
        <v>197</v>
      </c>
      <c r="D86" s="10" t="str">
        <f>_xlfn.XLOOKUP(C86, Mapping!$C:$C, Mapping!$E:$E, "Check ID")</f>
        <v>Transfer</v>
      </c>
      <c r="E86" s="12" t="s">
        <v>337</v>
      </c>
      <c r="F86" s="13">
        <v>3000</v>
      </c>
    </row>
    <row r="87" spans="1:6" x14ac:dyDescent="0.3">
      <c r="A87" s="9">
        <v>45710</v>
      </c>
      <c r="B87" s="10" t="s">
        <v>362</v>
      </c>
      <c r="C87" s="11">
        <v>0</v>
      </c>
      <c r="D87" s="10" t="str">
        <f>_xlfn.XLOOKUP(C87, Mapping!$C:$C, Mapping!$E:$E, "Check ID")</f>
        <v>Transfer</v>
      </c>
      <c r="E87" s="12" t="s">
        <v>337</v>
      </c>
      <c r="F87" s="13">
        <v>2000</v>
      </c>
    </row>
    <row r="88" spans="1:6" x14ac:dyDescent="0.3">
      <c r="A88" s="9">
        <v>45717</v>
      </c>
      <c r="B88" s="10" t="s">
        <v>149</v>
      </c>
      <c r="C88" s="11">
        <v>7910</v>
      </c>
      <c r="D88" s="10" t="str">
        <f>_xlfn.XLOOKUP(C88, Mapping!$C:$C, Mapping!$E:$E, "Check ID")</f>
        <v>Transfer</v>
      </c>
      <c r="E88" s="12" t="s">
        <v>336</v>
      </c>
      <c r="F88" s="13">
        <v>2500</v>
      </c>
    </row>
    <row r="89" spans="1:6" x14ac:dyDescent="0.3">
      <c r="A89" s="9">
        <v>45718</v>
      </c>
      <c r="B89" s="10" t="s">
        <v>149</v>
      </c>
      <c r="C89" s="11">
        <v>8306</v>
      </c>
      <c r="D89" s="10" t="str">
        <f>_xlfn.XLOOKUP(C89, Mapping!$C:$C, Mapping!$E:$E, "Check ID")</f>
        <v>Undisclosed</v>
      </c>
      <c r="E89" s="12" t="s">
        <v>336</v>
      </c>
      <c r="F89" s="13">
        <v>6000</v>
      </c>
    </row>
    <row r="90" spans="1:6" x14ac:dyDescent="0.3">
      <c r="A90" s="9">
        <v>45721</v>
      </c>
      <c r="B90" s="10" t="s">
        <v>149</v>
      </c>
      <c r="C90" s="11" t="s">
        <v>6</v>
      </c>
      <c r="D90" s="10" t="str">
        <f>_xlfn.XLOOKUP(C90, Mapping!$C:$C, Mapping!$E:$E, "Check ID")</f>
        <v>Government</v>
      </c>
      <c r="E90" s="12" t="s">
        <v>336</v>
      </c>
      <c r="F90" s="13">
        <v>6505</v>
      </c>
    </row>
    <row r="91" spans="1:6" x14ac:dyDescent="0.3">
      <c r="A91" s="9">
        <v>45726</v>
      </c>
      <c r="B91" s="10" t="s">
        <v>149</v>
      </c>
      <c r="C91" s="11">
        <v>1059</v>
      </c>
      <c r="D91" s="10" t="str">
        <f>_xlfn.XLOOKUP(C91, Mapping!$C:$C, Mapping!$E:$E, "Check ID")</f>
        <v>Phone Utilities</v>
      </c>
      <c r="E91" s="12" t="s">
        <v>336</v>
      </c>
      <c r="F91" s="13">
        <v>151</v>
      </c>
    </row>
    <row r="92" spans="1:6" x14ac:dyDescent="0.3">
      <c r="A92" s="9">
        <v>45728</v>
      </c>
      <c r="B92" s="10" t="s">
        <v>149</v>
      </c>
      <c r="C92" s="11">
        <v>2470</v>
      </c>
      <c r="D92" s="10" t="str">
        <f>_xlfn.XLOOKUP(C92, Mapping!$C:$C, Mapping!$E:$E, "Check ID")</f>
        <v>Undisclosed</v>
      </c>
      <c r="E92" s="12" t="s">
        <v>336</v>
      </c>
      <c r="F92" s="13">
        <v>3500</v>
      </c>
    </row>
    <row r="93" spans="1:6" x14ac:dyDescent="0.3">
      <c r="A93" s="9">
        <v>45730</v>
      </c>
      <c r="B93" s="10" t="s">
        <v>149</v>
      </c>
      <c r="C93" s="11" t="s">
        <v>6</v>
      </c>
      <c r="D93" s="10" t="str">
        <f>_xlfn.XLOOKUP(C93, Mapping!$C:$C, Mapping!$E:$E, "Check ID")</f>
        <v>Government</v>
      </c>
      <c r="E93" s="12" t="s">
        <v>336</v>
      </c>
      <c r="F93" s="13">
        <v>6505</v>
      </c>
    </row>
    <row r="94" spans="1:6" x14ac:dyDescent="0.3">
      <c r="A94" s="9">
        <v>45730</v>
      </c>
      <c r="B94" s="10" t="s">
        <v>149</v>
      </c>
      <c r="C94" s="11">
        <v>9032</v>
      </c>
      <c r="D94" s="10" t="str">
        <f>_xlfn.XLOOKUP(C94, Mapping!$C:$C, Mapping!$E:$E, "Check ID")</f>
        <v>Transfer</v>
      </c>
      <c r="E94" s="12" t="s">
        <v>336</v>
      </c>
      <c r="F94" s="13">
        <v>10000</v>
      </c>
    </row>
    <row r="95" spans="1:6" x14ac:dyDescent="0.3">
      <c r="A95" s="9">
        <v>45732</v>
      </c>
      <c r="B95" s="10" t="s">
        <v>149</v>
      </c>
      <c r="C95" s="11">
        <v>816</v>
      </c>
      <c r="D95" s="10" t="str">
        <f>_xlfn.XLOOKUP(C95, Mapping!$C:$C, Mapping!$E:$E, "Check ID")</f>
        <v>Saving Account</v>
      </c>
      <c r="E95" s="12" t="s">
        <v>336</v>
      </c>
      <c r="F95" s="13">
        <v>29015</v>
      </c>
    </row>
    <row r="96" spans="1:6" x14ac:dyDescent="0.3">
      <c r="A96" s="9">
        <v>45734</v>
      </c>
      <c r="B96" s="10" t="s">
        <v>149</v>
      </c>
      <c r="C96" s="11">
        <v>8562</v>
      </c>
      <c r="D96" s="10" t="str">
        <f>_xlfn.XLOOKUP(C96, Mapping!$C:$C, Mapping!$E:$E, "Check ID")</f>
        <v>Undisclosed</v>
      </c>
      <c r="E96" s="12" t="s">
        <v>336</v>
      </c>
      <c r="F96" s="13">
        <v>202</v>
      </c>
    </row>
    <row r="97" spans="1:6" x14ac:dyDescent="0.3">
      <c r="A97" s="9">
        <v>45737</v>
      </c>
      <c r="B97" s="10" t="s">
        <v>149</v>
      </c>
      <c r="C97" s="11" t="s">
        <v>123</v>
      </c>
      <c r="D97" s="10" t="str">
        <f>_xlfn.XLOOKUP(C97, Mapping!$C:$C, Mapping!$E:$E, "Check ID")</f>
        <v>Debt</v>
      </c>
      <c r="E97" s="12" t="s">
        <v>336</v>
      </c>
      <c r="F97" s="13">
        <v>2730.81</v>
      </c>
    </row>
    <row r="98" spans="1:6" x14ac:dyDescent="0.3">
      <c r="A98" s="9">
        <v>45718</v>
      </c>
      <c r="B98" s="10" t="s">
        <v>149</v>
      </c>
      <c r="C98" s="11">
        <v>4969</v>
      </c>
      <c r="D98" s="10" t="str">
        <f>_xlfn.XLOOKUP(C98, Mapping!$C:$C, Mapping!$E:$E, "Check ID")</f>
        <v>Phone Utilities</v>
      </c>
      <c r="E98" s="12" t="s">
        <v>336</v>
      </c>
      <c r="F98" s="13">
        <v>31</v>
      </c>
    </row>
    <row r="99" spans="1:6" x14ac:dyDescent="0.3">
      <c r="A99" s="9">
        <v>45744</v>
      </c>
      <c r="B99" s="10" t="s">
        <v>149</v>
      </c>
      <c r="C99" s="11">
        <v>908</v>
      </c>
      <c r="D99" s="10" t="str">
        <f>_xlfn.XLOOKUP(C99, Mapping!$C:$C, Mapping!$E:$E, "Check ID")</f>
        <v>Undisclosed</v>
      </c>
      <c r="E99" s="12" t="s">
        <v>336</v>
      </c>
      <c r="F99" s="13">
        <v>5000</v>
      </c>
    </row>
    <row r="100" spans="1:6" x14ac:dyDescent="0.3">
      <c r="A100" s="9">
        <v>45744</v>
      </c>
      <c r="B100" s="10" t="s">
        <v>149</v>
      </c>
      <c r="C100" s="11">
        <v>9032</v>
      </c>
      <c r="D100" s="10" t="str">
        <f>_xlfn.XLOOKUP(C100, Mapping!$C:$C, Mapping!$E:$E, "Check ID")</f>
        <v>Transfer</v>
      </c>
      <c r="E100" s="12" t="s">
        <v>336</v>
      </c>
      <c r="F100" s="13">
        <v>10000</v>
      </c>
    </row>
    <row r="101" spans="1:6" x14ac:dyDescent="0.3">
      <c r="A101" s="9">
        <v>45744</v>
      </c>
      <c r="B101" s="10" t="s">
        <v>149</v>
      </c>
      <c r="C101" s="11">
        <v>1059</v>
      </c>
      <c r="D101" s="10" t="str">
        <f>_xlfn.XLOOKUP(C101, Mapping!$C:$C, Mapping!$E:$E, "Check ID")</f>
        <v>Phone Utilities</v>
      </c>
      <c r="E101" s="12" t="s">
        <v>336</v>
      </c>
      <c r="F101" s="13">
        <v>151</v>
      </c>
    </row>
    <row r="102" spans="1:6" x14ac:dyDescent="0.3">
      <c r="A102" s="9">
        <v>45744</v>
      </c>
      <c r="B102" s="10" t="s">
        <v>149</v>
      </c>
      <c r="C102" s="11">
        <v>7261</v>
      </c>
      <c r="D102" s="10" t="str">
        <f>_xlfn.XLOOKUP(C102, Mapping!$C:$C, Mapping!$E:$E, "Check ID")</f>
        <v>Transfer</v>
      </c>
      <c r="E102" s="12" t="s">
        <v>336</v>
      </c>
      <c r="F102" s="13">
        <v>5000</v>
      </c>
    </row>
    <row r="103" spans="1:6" x14ac:dyDescent="0.3">
      <c r="A103" s="9">
        <v>45747</v>
      </c>
      <c r="B103" s="10" t="s">
        <v>149</v>
      </c>
      <c r="C103" s="11">
        <v>816</v>
      </c>
      <c r="D103" s="10" t="str">
        <f>_xlfn.XLOOKUP(C103, Mapping!$C:$C, Mapping!$E:$E, "Check ID")</f>
        <v>Saving Account</v>
      </c>
      <c r="E103" s="12" t="s">
        <v>336</v>
      </c>
      <c r="F103" s="13">
        <v>15015</v>
      </c>
    </row>
    <row r="104" spans="1:6" x14ac:dyDescent="0.3">
      <c r="A104" s="9">
        <v>45747</v>
      </c>
      <c r="B104" s="10" t="s">
        <v>149</v>
      </c>
      <c r="C104" s="11" t="s">
        <v>3</v>
      </c>
      <c r="D104" s="10" t="str">
        <f>_xlfn.XLOOKUP(C104, Mapping!$C:$C, Mapping!$E:$E, "Check ID")</f>
        <v>Investment</v>
      </c>
      <c r="E104" s="12" t="s">
        <v>336</v>
      </c>
      <c r="F104" s="13">
        <v>500</v>
      </c>
    </row>
    <row r="105" spans="1:6" x14ac:dyDescent="0.3">
      <c r="A105" s="9">
        <v>45717</v>
      </c>
      <c r="B105" s="10" t="s">
        <v>149</v>
      </c>
      <c r="C105" s="11">
        <v>4360</v>
      </c>
      <c r="D105" s="10" t="str">
        <f>_xlfn.XLOOKUP(C105, Mapping!$C:$C, Mapping!$E:$E, "Check ID")</f>
        <v>Transfer</v>
      </c>
      <c r="E105" s="12" t="s">
        <v>337</v>
      </c>
      <c r="F105" s="13">
        <v>1500</v>
      </c>
    </row>
    <row r="106" spans="1:6" x14ac:dyDescent="0.3">
      <c r="A106" s="9">
        <v>45717</v>
      </c>
      <c r="B106" s="10" t="s">
        <v>149</v>
      </c>
      <c r="C106" s="11">
        <v>7910</v>
      </c>
      <c r="D106" s="10" t="str">
        <f>_xlfn.XLOOKUP(C106, Mapping!$C:$C, Mapping!$E:$E, "Check ID")</f>
        <v>Transfer</v>
      </c>
      <c r="E106" s="12" t="s">
        <v>337</v>
      </c>
      <c r="F106" s="13">
        <v>3000</v>
      </c>
    </row>
    <row r="107" spans="1:6" x14ac:dyDescent="0.3">
      <c r="A107" s="9">
        <v>45718</v>
      </c>
      <c r="B107" s="10" t="s">
        <v>149</v>
      </c>
      <c r="C107" s="11">
        <v>4494</v>
      </c>
      <c r="D107" s="10" t="str">
        <f>_xlfn.XLOOKUP(C107, Mapping!$C:$C, Mapping!$E:$E, "Check ID")</f>
        <v>Transfer</v>
      </c>
      <c r="E107" s="12" t="s">
        <v>337</v>
      </c>
      <c r="F107" s="13">
        <v>1500</v>
      </c>
    </row>
    <row r="108" spans="1:6" x14ac:dyDescent="0.3">
      <c r="A108" s="9">
        <v>45718</v>
      </c>
      <c r="B108" s="10" t="s">
        <v>149</v>
      </c>
      <c r="C108" s="11">
        <v>7336</v>
      </c>
      <c r="D108" s="10" t="str">
        <f>_xlfn.XLOOKUP(C108, Mapping!$C:$C, Mapping!$E:$E, "Check ID")</f>
        <v>Transfer</v>
      </c>
      <c r="E108" s="12" t="s">
        <v>337</v>
      </c>
      <c r="F108" s="13">
        <v>800</v>
      </c>
    </row>
    <row r="109" spans="1:6" x14ac:dyDescent="0.3">
      <c r="A109" s="9">
        <v>45721</v>
      </c>
      <c r="B109" s="10" t="s">
        <v>149</v>
      </c>
      <c r="C109" s="11">
        <v>7507</v>
      </c>
      <c r="D109" s="10" t="str">
        <f>_xlfn.XLOOKUP(C109, Mapping!$C:$C, Mapping!$E:$E, "Check ID")</f>
        <v>Transfer</v>
      </c>
      <c r="E109" s="12" t="s">
        <v>337</v>
      </c>
      <c r="F109" s="13">
        <v>431</v>
      </c>
    </row>
    <row r="110" spans="1:6" x14ac:dyDescent="0.3">
      <c r="A110" s="9">
        <v>45722</v>
      </c>
      <c r="B110" s="10" t="s">
        <v>149</v>
      </c>
      <c r="C110" s="11">
        <v>5854</v>
      </c>
      <c r="D110" s="10" t="str">
        <f>_xlfn.XLOOKUP(C110, Mapping!$C:$C, Mapping!$E:$E, "Check ID")</f>
        <v>Transfer</v>
      </c>
      <c r="E110" s="12" t="s">
        <v>337</v>
      </c>
      <c r="F110" s="13">
        <v>2000</v>
      </c>
    </row>
    <row r="111" spans="1:6" x14ac:dyDescent="0.3">
      <c r="A111" s="9">
        <v>45723</v>
      </c>
      <c r="B111" s="10" t="s">
        <v>149</v>
      </c>
      <c r="C111" s="11">
        <v>4360</v>
      </c>
      <c r="D111" s="10" t="str">
        <f>_xlfn.XLOOKUP(C111, Mapping!$C:$C, Mapping!$E:$E, "Check ID")</f>
        <v>Transfer</v>
      </c>
      <c r="E111" s="12" t="s">
        <v>337</v>
      </c>
      <c r="F111" s="13">
        <v>1500</v>
      </c>
    </row>
    <row r="112" spans="1:6" x14ac:dyDescent="0.3">
      <c r="A112" s="9">
        <v>45728</v>
      </c>
      <c r="B112" s="10" t="s">
        <v>149</v>
      </c>
      <c r="C112" s="11">
        <v>5791</v>
      </c>
      <c r="D112" s="10" t="str">
        <f>_xlfn.XLOOKUP(C112, Mapping!$C:$C, Mapping!$E:$E, "Check ID")</f>
        <v>Transfer</v>
      </c>
      <c r="E112" s="12" t="s">
        <v>337</v>
      </c>
      <c r="F112" s="13">
        <v>1500</v>
      </c>
    </row>
    <row r="113" spans="1:6" x14ac:dyDescent="0.3">
      <c r="A113" s="9">
        <v>45729</v>
      </c>
      <c r="B113" s="10" t="s">
        <v>149</v>
      </c>
      <c r="C113" s="11">
        <v>6406</v>
      </c>
      <c r="D113" s="10" t="str">
        <f>_xlfn.XLOOKUP(C113, Mapping!$C:$C, Mapping!$E:$E, "Check ID")</f>
        <v>Transfer</v>
      </c>
      <c r="E113" s="12" t="s">
        <v>337</v>
      </c>
      <c r="F113" s="13">
        <v>1800</v>
      </c>
    </row>
    <row r="114" spans="1:6" x14ac:dyDescent="0.3">
      <c r="A114" s="9">
        <v>45729</v>
      </c>
      <c r="B114" s="10" t="s">
        <v>149</v>
      </c>
      <c r="C114" s="11">
        <v>7261</v>
      </c>
      <c r="D114" s="10" t="str">
        <f>_xlfn.XLOOKUP(C114, Mapping!$C:$C, Mapping!$E:$E, "Check ID")</f>
        <v>Transfer</v>
      </c>
      <c r="E114" s="12" t="s">
        <v>337</v>
      </c>
      <c r="F114" s="13">
        <v>1600</v>
      </c>
    </row>
    <row r="115" spans="1:6" x14ac:dyDescent="0.3">
      <c r="A115" s="9">
        <v>45730</v>
      </c>
      <c r="B115" s="10" t="s">
        <v>149</v>
      </c>
      <c r="C115" s="11">
        <v>4530</v>
      </c>
      <c r="D115" s="10" t="str">
        <f>_xlfn.XLOOKUP(C115, Mapping!$C:$C, Mapping!$E:$E, "Check ID")</f>
        <v>Saving Account</v>
      </c>
      <c r="E115" s="12" t="s">
        <v>337</v>
      </c>
      <c r="F115" s="13">
        <v>6000</v>
      </c>
    </row>
    <row r="116" spans="1:6" x14ac:dyDescent="0.3">
      <c r="A116" s="9">
        <v>45730</v>
      </c>
      <c r="B116" s="10" t="s">
        <v>149</v>
      </c>
      <c r="C116" s="11">
        <v>295</v>
      </c>
      <c r="D116" s="10" t="str">
        <f>_xlfn.XLOOKUP(C116, Mapping!$C:$C, Mapping!$E:$E, "Check ID")</f>
        <v>Transfer</v>
      </c>
      <c r="E116" s="12" t="s">
        <v>337</v>
      </c>
      <c r="F116" s="13">
        <v>1600</v>
      </c>
    </row>
    <row r="117" spans="1:6" x14ac:dyDescent="0.3">
      <c r="A117" s="9">
        <v>45730</v>
      </c>
      <c r="B117" s="10" t="s">
        <v>149</v>
      </c>
      <c r="C117" s="11">
        <v>529</v>
      </c>
      <c r="D117" s="10" t="str">
        <f>_xlfn.XLOOKUP(C117, Mapping!$C:$C, Mapping!$E:$E, "Check ID")</f>
        <v>Transfer</v>
      </c>
      <c r="E117" s="12" t="s">
        <v>337</v>
      </c>
      <c r="F117" s="13">
        <v>2000</v>
      </c>
    </row>
    <row r="118" spans="1:6" x14ac:dyDescent="0.3">
      <c r="A118" s="9">
        <v>45730</v>
      </c>
      <c r="B118" s="10" t="s">
        <v>149</v>
      </c>
      <c r="C118" s="11">
        <v>6009</v>
      </c>
      <c r="D118" s="10" t="str">
        <f>_xlfn.XLOOKUP(C118, Mapping!$C:$C, Mapping!$E:$E, "Check ID")</f>
        <v>Transfer</v>
      </c>
      <c r="E118" s="12" t="s">
        <v>337</v>
      </c>
      <c r="F118" s="13">
        <v>400</v>
      </c>
    </row>
    <row r="119" spans="1:6" x14ac:dyDescent="0.3">
      <c r="A119" s="9">
        <v>45730</v>
      </c>
      <c r="B119" s="10" t="s">
        <v>149</v>
      </c>
      <c r="C119" s="11">
        <v>9032</v>
      </c>
      <c r="D119" s="10" t="str">
        <f>_xlfn.XLOOKUP(C119, Mapping!$C:$C, Mapping!$E:$E, "Check ID")</f>
        <v>Transfer</v>
      </c>
      <c r="E119" s="12" t="s">
        <v>337</v>
      </c>
      <c r="F119" s="13">
        <v>2000</v>
      </c>
    </row>
    <row r="120" spans="1:6" x14ac:dyDescent="0.3">
      <c r="A120" s="9">
        <v>45730</v>
      </c>
      <c r="B120" s="10" t="s">
        <v>149</v>
      </c>
      <c r="C120" s="11">
        <v>1773</v>
      </c>
      <c r="D120" s="10" t="str">
        <f>_xlfn.XLOOKUP(C120, Mapping!$C:$C, Mapping!$E:$E, "Check ID")</f>
        <v>Transfer</v>
      </c>
      <c r="E120" s="12" t="s">
        <v>337</v>
      </c>
      <c r="F120" s="13">
        <v>5437</v>
      </c>
    </row>
    <row r="121" spans="1:6" x14ac:dyDescent="0.3">
      <c r="A121" s="9">
        <v>45731</v>
      </c>
      <c r="B121" s="10" t="s">
        <v>149</v>
      </c>
      <c r="C121" s="11">
        <v>197</v>
      </c>
      <c r="D121" s="10" t="str">
        <f>_xlfn.XLOOKUP(C121, Mapping!$C:$C, Mapping!$E:$E, "Check ID")</f>
        <v>Transfer</v>
      </c>
      <c r="E121" s="12" t="s">
        <v>337</v>
      </c>
      <c r="F121" s="13">
        <v>3000</v>
      </c>
    </row>
    <row r="122" spans="1:6" x14ac:dyDescent="0.3">
      <c r="A122" s="9">
        <v>45731</v>
      </c>
      <c r="B122" s="10" t="s">
        <v>149</v>
      </c>
      <c r="C122" s="11">
        <v>384</v>
      </c>
      <c r="D122" s="10" t="str">
        <f>_xlfn.XLOOKUP(C122, Mapping!$C:$C, Mapping!$E:$E, "Check ID")</f>
        <v>Transfer</v>
      </c>
      <c r="E122" s="12" t="s">
        <v>337</v>
      </c>
      <c r="F122" s="13">
        <v>750</v>
      </c>
    </row>
    <row r="123" spans="1:6" x14ac:dyDescent="0.3">
      <c r="A123" s="9">
        <v>45729</v>
      </c>
      <c r="B123" s="10" t="s">
        <v>149</v>
      </c>
      <c r="C123" s="11">
        <v>0</v>
      </c>
      <c r="D123" s="10" t="str">
        <f>_xlfn.XLOOKUP(C123, Mapping!$C:$C, Mapping!$E:$E, "Check ID")</f>
        <v>Transfer</v>
      </c>
      <c r="E123" s="12" t="s">
        <v>337</v>
      </c>
      <c r="F123" s="13">
        <v>3000</v>
      </c>
    </row>
    <row r="124" spans="1:6" x14ac:dyDescent="0.3">
      <c r="A124" s="9">
        <v>45730</v>
      </c>
      <c r="B124" s="10" t="s">
        <v>149</v>
      </c>
      <c r="C124" s="11">
        <v>5763</v>
      </c>
      <c r="D124" s="10" t="str">
        <f>_xlfn.XLOOKUP(C124, Mapping!$C:$C, Mapping!$E:$E, "Check ID")</f>
        <v>Transfer</v>
      </c>
      <c r="E124" s="12" t="s">
        <v>337</v>
      </c>
      <c r="F124" s="13">
        <v>3600</v>
      </c>
    </row>
    <row r="125" spans="1:6" x14ac:dyDescent="0.3">
      <c r="A125" s="9">
        <v>45736</v>
      </c>
      <c r="B125" s="10" t="s">
        <v>149</v>
      </c>
      <c r="C125" s="11">
        <v>5854</v>
      </c>
      <c r="D125" s="10" t="str">
        <f>_xlfn.XLOOKUP(C125, Mapping!$C:$C, Mapping!$E:$E, "Check ID")</f>
        <v>Transfer</v>
      </c>
      <c r="E125" s="12" t="s">
        <v>337</v>
      </c>
      <c r="F125" s="13">
        <v>2000</v>
      </c>
    </row>
    <row r="126" spans="1:6" x14ac:dyDescent="0.3">
      <c r="A126" s="9">
        <v>45737</v>
      </c>
      <c r="B126" s="10" t="s">
        <v>149</v>
      </c>
      <c r="C126" s="11">
        <v>7507</v>
      </c>
      <c r="D126" s="10" t="str">
        <f>_xlfn.XLOOKUP(C126, Mapping!$C:$C, Mapping!$E:$E, "Check ID")</f>
        <v>Transfer</v>
      </c>
      <c r="E126" s="12" t="s">
        <v>337</v>
      </c>
      <c r="F126" s="13">
        <v>431</v>
      </c>
    </row>
    <row r="127" spans="1:6" x14ac:dyDescent="0.3">
      <c r="A127" s="9">
        <v>45737</v>
      </c>
      <c r="B127" s="10" t="s">
        <v>149</v>
      </c>
      <c r="C127" s="11">
        <v>816</v>
      </c>
      <c r="D127" s="10" t="str">
        <f>_xlfn.XLOOKUP(C127, Mapping!$C:$C, Mapping!$E:$E, "Check ID")</f>
        <v>Saving Account</v>
      </c>
      <c r="E127" s="12" t="s">
        <v>337</v>
      </c>
      <c r="F127" s="13">
        <v>100</v>
      </c>
    </row>
    <row r="128" spans="1:6" x14ac:dyDescent="0.3">
      <c r="A128" s="9">
        <v>45742</v>
      </c>
      <c r="B128" s="10" t="s">
        <v>149</v>
      </c>
      <c r="C128" s="11">
        <v>7261</v>
      </c>
      <c r="D128" s="10" t="str">
        <f>_xlfn.XLOOKUP(C128, Mapping!$C:$C, Mapping!$E:$E, "Check ID")</f>
        <v>Transfer</v>
      </c>
      <c r="E128" s="12" t="s">
        <v>337</v>
      </c>
      <c r="F128" s="13">
        <v>2400</v>
      </c>
    </row>
    <row r="129" spans="1:6" x14ac:dyDescent="0.3">
      <c r="A129" s="9">
        <v>45744</v>
      </c>
      <c r="B129" s="10" t="s">
        <v>149</v>
      </c>
      <c r="C129" s="11">
        <v>529</v>
      </c>
      <c r="D129" s="10" t="str">
        <f>_xlfn.XLOOKUP(C129, Mapping!$C:$C, Mapping!$E:$E, "Check ID")</f>
        <v>Transfer</v>
      </c>
      <c r="E129" s="12" t="s">
        <v>337</v>
      </c>
      <c r="F129" s="13">
        <v>9500</v>
      </c>
    </row>
    <row r="130" spans="1:6" x14ac:dyDescent="0.3">
      <c r="A130" s="9">
        <v>45744</v>
      </c>
      <c r="B130" s="10" t="s">
        <v>149</v>
      </c>
      <c r="C130" s="11">
        <v>295</v>
      </c>
      <c r="D130" s="10" t="str">
        <f>_xlfn.XLOOKUP(C130, Mapping!$C:$C, Mapping!$E:$E, "Check ID")</f>
        <v>Transfer</v>
      </c>
      <c r="E130" s="12" t="s">
        <v>337</v>
      </c>
      <c r="F130" s="13">
        <v>1600</v>
      </c>
    </row>
    <row r="131" spans="1:6" x14ac:dyDescent="0.3">
      <c r="A131" s="9">
        <v>45744</v>
      </c>
      <c r="B131" s="10" t="s">
        <v>149</v>
      </c>
      <c r="C131" s="11">
        <v>9032</v>
      </c>
      <c r="D131" s="10" t="str">
        <f>_xlfn.XLOOKUP(C131, Mapping!$C:$C, Mapping!$E:$E, "Check ID")</f>
        <v>Transfer</v>
      </c>
      <c r="E131" s="12" t="s">
        <v>337</v>
      </c>
      <c r="F131" s="13">
        <v>2000</v>
      </c>
    </row>
    <row r="132" spans="1:6" x14ac:dyDescent="0.3">
      <c r="A132" s="9">
        <v>45744</v>
      </c>
      <c r="B132" s="10" t="s">
        <v>149</v>
      </c>
      <c r="C132" s="11">
        <v>5340</v>
      </c>
      <c r="D132" s="10" t="str">
        <f>_xlfn.XLOOKUP(C132, Mapping!$C:$C, Mapping!$E:$E, "Check ID")</f>
        <v>Transfer</v>
      </c>
      <c r="E132" s="12" t="s">
        <v>337</v>
      </c>
      <c r="F132" s="13">
        <v>2400</v>
      </c>
    </row>
    <row r="133" spans="1:6" x14ac:dyDescent="0.3">
      <c r="A133" s="9">
        <v>45744</v>
      </c>
      <c r="B133" s="10" t="s">
        <v>149</v>
      </c>
      <c r="C133" s="11">
        <v>6406</v>
      </c>
      <c r="D133" s="10" t="str">
        <f>_xlfn.XLOOKUP(C133, Mapping!$C:$C, Mapping!$E:$E, "Check ID")</f>
        <v>Transfer</v>
      </c>
      <c r="E133" s="12" t="s">
        <v>337</v>
      </c>
      <c r="F133" s="13">
        <v>1800</v>
      </c>
    </row>
    <row r="134" spans="1:6" x14ac:dyDescent="0.3">
      <c r="A134" s="9">
        <v>45744</v>
      </c>
      <c r="B134" s="10" t="s">
        <v>149</v>
      </c>
      <c r="C134" s="11">
        <v>1773</v>
      </c>
      <c r="D134" s="10" t="str">
        <f>_xlfn.XLOOKUP(C134, Mapping!$C:$C, Mapping!$E:$E, "Check ID")</f>
        <v>Transfer</v>
      </c>
      <c r="E134" s="12" t="s">
        <v>337</v>
      </c>
      <c r="F134" s="13">
        <v>1252</v>
      </c>
    </row>
    <row r="135" spans="1:6" x14ac:dyDescent="0.3">
      <c r="A135" s="9">
        <v>45745</v>
      </c>
      <c r="B135" s="10" t="s">
        <v>149</v>
      </c>
      <c r="C135" s="11">
        <v>4360</v>
      </c>
      <c r="D135" s="10" t="str">
        <f>_xlfn.XLOOKUP(C135, Mapping!$C:$C, Mapping!$E:$E, "Check ID")</f>
        <v>Transfer</v>
      </c>
      <c r="E135" s="12" t="s">
        <v>337</v>
      </c>
      <c r="F135" s="13">
        <v>1500</v>
      </c>
    </row>
    <row r="136" spans="1:6" x14ac:dyDescent="0.3">
      <c r="A136" s="9">
        <v>45745</v>
      </c>
      <c r="B136" s="10" t="s">
        <v>149</v>
      </c>
      <c r="C136" s="11">
        <v>5763</v>
      </c>
      <c r="D136" s="10" t="str">
        <f>_xlfn.XLOOKUP(C136, Mapping!$C:$C, Mapping!$E:$E, "Check ID")</f>
        <v>Transfer</v>
      </c>
      <c r="E136" s="12" t="s">
        <v>337</v>
      </c>
      <c r="F136" s="13">
        <v>3600</v>
      </c>
    </row>
    <row r="137" spans="1:6" x14ac:dyDescent="0.3">
      <c r="A137" s="9">
        <v>45746</v>
      </c>
      <c r="B137" s="10" t="s">
        <v>149</v>
      </c>
      <c r="C137" s="11" t="s">
        <v>53</v>
      </c>
      <c r="D137" s="10" t="str">
        <f>_xlfn.XLOOKUP(C137, Mapping!$C:$C, Mapping!$E:$E, "Check ID")</f>
        <v>Transfer</v>
      </c>
      <c r="E137" s="12" t="s">
        <v>337</v>
      </c>
      <c r="F137" s="13">
        <v>2000</v>
      </c>
    </row>
    <row r="138" spans="1:6" x14ac:dyDescent="0.3">
      <c r="A138" s="9">
        <v>45746</v>
      </c>
      <c r="B138" s="10" t="s">
        <v>149</v>
      </c>
      <c r="C138" s="11">
        <v>384</v>
      </c>
      <c r="D138" s="10" t="str">
        <f>_xlfn.XLOOKUP(C138, Mapping!$C:$C, Mapping!$E:$E, "Check ID")</f>
        <v>Transfer</v>
      </c>
      <c r="E138" s="12" t="s">
        <v>337</v>
      </c>
      <c r="F138" s="13">
        <v>1200</v>
      </c>
    </row>
    <row r="139" spans="1:6" x14ac:dyDescent="0.3">
      <c r="A139" s="9">
        <v>45748</v>
      </c>
      <c r="B139" s="10" t="s">
        <v>198</v>
      </c>
      <c r="C139" s="11">
        <v>2488</v>
      </c>
      <c r="D139" s="10" t="str">
        <f>_xlfn.XLOOKUP(C139, Mapping!$C:$C, Mapping!$E:$E, "Check ID")</f>
        <v>Undisclosed</v>
      </c>
      <c r="E139" s="12" t="s">
        <v>336</v>
      </c>
      <c r="F139" s="13">
        <v>3515</v>
      </c>
    </row>
    <row r="140" spans="1:6" x14ac:dyDescent="0.3">
      <c r="A140" s="9">
        <v>45748</v>
      </c>
      <c r="B140" s="10" t="s">
        <v>198</v>
      </c>
      <c r="C140" s="11" t="s">
        <v>97</v>
      </c>
      <c r="D140" s="10" t="str">
        <f>_xlfn.XLOOKUP(C140, Mapping!$C:$C, Mapping!$E:$E, "Check ID")</f>
        <v>Certificate</v>
      </c>
      <c r="E140" s="12" t="s">
        <v>336</v>
      </c>
      <c r="F140" s="13">
        <v>330</v>
      </c>
    </row>
    <row r="141" spans="1:6" x14ac:dyDescent="0.3">
      <c r="A141" s="9">
        <v>45748</v>
      </c>
      <c r="B141" s="10" t="s">
        <v>198</v>
      </c>
      <c r="C141" s="11">
        <v>7910</v>
      </c>
      <c r="D141" s="10" t="str">
        <f>_xlfn.XLOOKUP(C141, Mapping!$C:$C, Mapping!$E:$E, "Check ID")</f>
        <v>Transfer</v>
      </c>
      <c r="E141" s="12" t="s">
        <v>336</v>
      </c>
      <c r="F141" s="13">
        <v>1000</v>
      </c>
    </row>
    <row r="142" spans="1:6" x14ac:dyDescent="0.3">
      <c r="A142" s="9">
        <v>45748</v>
      </c>
      <c r="B142" s="10" t="s">
        <v>198</v>
      </c>
      <c r="C142" s="11">
        <v>1082</v>
      </c>
      <c r="D142" s="10" t="str">
        <f>_xlfn.XLOOKUP(C142, Mapping!$C:$C, Mapping!$E:$E, "Check ID")</f>
        <v>Transfer</v>
      </c>
      <c r="E142" s="12" t="s">
        <v>336</v>
      </c>
      <c r="F142" s="13">
        <v>5000</v>
      </c>
    </row>
    <row r="143" spans="1:6" x14ac:dyDescent="0.3">
      <c r="A143" s="9">
        <v>45748</v>
      </c>
      <c r="B143" s="10" t="s">
        <v>198</v>
      </c>
      <c r="C143" s="11">
        <v>4639</v>
      </c>
      <c r="D143" s="10" t="str">
        <f>_xlfn.XLOOKUP(C143, Mapping!$C:$C, Mapping!$E:$E, "Check ID")</f>
        <v>Undisclosed</v>
      </c>
      <c r="E143" s="12" t="s">
        <v>336</v>
      </c>
      <c r="F143" s="13">
        <v>400</v>
      </c>
    </row>
    <row r="144" spans="1:6" x14ac:dyDescent="0.3">
      <c r="A144" s="9">
        <v>45748</v>
      </c>
      <c r="B144" s="10" t="s">
        <v>198</v>
      </c>
      <c r="C144" s="11">
        <v>21</v>
      </c>
      <c r="D144" s="10" t="str">
        <f>_xlfn.XLOOKUP(C144, Mapping!$C:$C, Mapping!$E:$E, "Check ID")</f>
        <v>Undisclosed</v>
      </c>
      <c r="E144" s="12" t="s">
        <v>336</v>
      </c>
      <c r="F144" s="13">
        <v>1695.19</v>
      </c>
    </row>
    <row r="145" spans="1:6" x14ac:dyDescent="0.3">
      <c r="A145" s="9">
        <v>45748</v>
      </c>
      <c r="B145" s="10" t="s">
        <v>198</v>
      </c>
      <c r="C145" s="11">
        <v>4639</v>
      </c>
      <c r="D145" s="10" t="str">
        <f>_xlfn.XLOOKUP(C145, Mapping!$C:$C, Mapping!$E:$E, "Check ID")</f>
        <v>Undisclosed</v>
      </c>
      <c r="E145" s="12" t="s">
        <v>336</v>
      </c>
      <c r="F145" s="13">
        <v>2100</v>
      </c>
    </row>
    <row r="146" spans="1:6" x14ac:dyDescent="0.3">
      <c r="A146" s="9">
        <v>45753</v>
      </c>
      <c r="B146" s="10" t="s">
        <v>198</v>
      </c>
      <c r="C146" s="11">
        <v>295</v>
      </c>
      <c r="D146" s="10" t="str">
        <f>_xlfn.XLOOKUP(C146, Mapping!$C:$C, Mapping!$E:$E, "Check ID")</f>
        <v>Transfer</v>
      </c>
      <c r="E146" s="12" t="s">
        <v>336</v>
      </c>
      <c r="F146" s="13">
        <v>4000</v>
      </c>
    </row>
    <row r="147" spans="1:6" x14ac:dyDescent="0.3">
      <c r="A147" s="9">
        <v>45761</v>
      </c>
      <c r="B147" s="10" t="s">
        <v>198</v>
      </c>
      <c r="C147" s="11">
        <v>1059</v>
      </c>
      <c r="D147" s="10" t="str">
        <f>_xlfn.XLOOKUP(C147, Mapping!$C:$C, Mapping!$E:$E, "Check ID")</f>
        <v>Phone Utilities</v>
      </c>
      <c r="E147" s="12" t="s">
        <v>336</v>
      </c>
      <c r="F147" s="13">
        <v>151</v>
      </c>
    </row>
    <row r="148" spans="1:6" x14ac:dyDescent="0.3">
      <c r="A148" s="9">
        <v>45762</v>
      </c>
      <c r="B148" s="10" t="s">
        <v>198</v>
      </c>
      <c r="C148" s="11">
        <v>9032</v>
      </c>
      <c r="D148" s="10" t="str">
        <f>_xlfn.XLOOKUP(C148, Mapping!$C:$C, Mapping!$E:$E, "Check ID")</f>
        <v>Transfer</v>
      </c>
      <c r="E148" s="12" t="s">
        <v>336</v>
      </c>
      <c r="F148" s="13">
        <v>10000</v>
      </c>
    </row>
    <row r="149" spans="1:6" x14ac:dyDescent="0.3">
      <c r="A149" s="9">
        <v>45762</v>
      </c>
      <c r="B149" s="10" t="s">
        <v>198</v>
      </c>
      <c r="C149" s="11">
        <v>4690</v>
      </c>
      <c r="D149" s="10" t="str">
        <f>_xlfn.XLOOKUP(C149, Mapping!$C:$C, Mapping!$E:$E, "Check ID")</f>
        <v>Terra Transfer</v>
      </c>
      <c r="E149" s="12" t="s">
        <v>336</v>
      </c>
      <c r="F149" s="13">
        <v>2000</v>
      </c>
    </row>
    <row r="150" spans="1:6" x14ac:dyDescent="0.3">
      <c r="A150" s="9">
        <v>45763</v>
      </c>
      <c r="B150" s="10" t="s">
        <v>198</v>
      </c>
      <c r="C150" s="11" t="s">
        <v>6</v>
      </c>
      <c r="D150" s="10" t="str">
        <f>_xlfn.XLOOKUP(C150, Mapping!$C:$C, Mapping!$E:$E, "Check ID")</f>
        <v>Government</v>
      </c>
      <c r="E150" s="12" t="s">
        <v>336</v>
      </c>
      <c r="F150" s="13">
        <v>6505</v>
      </c>
    </row>
    <row r="151" spans="1:6" x14ac:dyDescent="0.3">
      <c r="A151" s="9">
        <v>45763</v>
      </c>
      <c r="B151" s="10" t="s">
        <v>198</v>
      </c>
      <c r="C151" s="11">
        <v>816</v>
      </c>
      <c r="D151" s="10" t="str">
        <f>_xlfn.XLOOKUP(C151, Mapping!$C:$C, Mapping!$E:$E, "Check ID")</f>
        <v>Saving Account</v>
      </c>
      <c r="E151" s="12" t="s">
        <v>336</v>
      </c>
      <c r="F151" s="13">
        <v>33015</v>
      </c>
    </row>
    <row r="152" spans="1:6" x14ac:dyDescent="0.3">
      <c r="A152" s="9">
        <v>45768</v>
      </c>
      <c r="B152" s="10" t="s">
        <v>198</v>
      </c>
      <c r="C152" s="11" t="s">
        <v>123</v>
      </c>
      <c r="D152" s="10" t="str">
        <f>_xlfn.XLOOKUP(C152, Mapping!$C:$C, Mapping!$E:$E, "Check ID")</f>
        <v>Debt</v>
      </c>
      <c r="E152" s="12" t="s">
        <v>336</v>
      </c>
      <c r="F152" s="13">
        <v>2730.83</v>
      </c>
    </row>
    <row r="153" spans="1:6" x14ac:dyDescent="0.3">
      <c r="A153" s="9">
        <v>45772</v>
      </c>
      <c r="B153" s="10" t="s">
        <v>198</v>
      </c>
      <c r="C153" s="11">
        <v>9807</v>
      </c>
      <c r="D153" s="10" t="str">
        <f>_xlfn.XLOOKUP(C153, Mapping!$C:$C, Mapping!$E:$E, "Check ID")</f>
        <v>Undisclosed</v>
      </c>
      <c r="E153" s="12" t="s">
        <v>336</v>
      </c>
      <c r="F153" s="13">
        <v>500</v>
      </c>
    </row>
    <row r="154" spans="1:6" x14ac:dyDescent="0.3">
      <c r="A154" s="9">
        <v>45772</v>
      </c>
      <c r="B154" s="10" t="s">
        <v>198</v>
      </c>
      <c r="C154" s="11">
        <v>1082</v>
      </c>
      <c r="D154" s="10" t="str">
        <f>_xlfn.XLOOKUP(C154, Mapping!$C:$C, Mapping!$E:$E, "Check ID")</f>
        <v>Transfer</v>
      </c>
      <c r="E154" s="12" t="s">
        <v>336</v>
      </c>
      <c r="F154" s="13">
        <v>5000</v>
      </c>
    </row>
    <row r="155" spans="1:6" x14ac:dyDescent="0.3">
      <c r="A155" s="9">
        <v>45777</v>
      </c>
      <c r="B155" s="10" t="s">
        <v>198</v>
      </c>
      <c r="C155" s="11">
        <v>9032</v>
      </c>
      <c r="D155" s="10" t="str">
        <f>_xlfn.XLOOKUP(C155, Mapping!$C:$C, Mapping!$E:$E, "Check ID")</f>
        <v>Transfer</v>
      </c>
      <c r="E155" s="12" t="s">
        <v>336</v>
      </c>
      <c r="F155" s="13">
        <v>10000</v>
      </c>
    </row>
    <row r="156" spans="1:6" x14ac:dyDescent="0.3">
      <c r="A156" s="9">
        <v>45748</v>
      </c>
      <c r="B156" s="10" t="s">
        <v>198</v>
      </c>
      <c r="C156" s="11">
        <v>5572</v>
      </c>
      <c r="D156" s="10" t="str">
        <f>_xlfn.XLOOKUP(C156, Mapping!$C:$C, Mapping!$E:$E, "Check ID")</f>
        <v>Transfer</v>
      </c>
      <c r="E156" s="12" t="s">
        <v>337</v>
      </c>
      <c r="F156" s="13">
        <v>2760</v>
      </c>
    </row>
    <row r="157" spans="1:6" x14ac:dyDescent="0.3">
      <c r="A157" s="9">
        <v>45752</v>
      </c>
      <c r="B157" s="10" t="s">
        <v>198</v>
      </c>
      <c r="C157" s="11">
        <v>7507</v>
      </c>
      <c r="D157" s="10" t="str">
        <f>_xlfn.XLOOKUP(C157, Mapping!$C:$C, Mapping!$E:$E, "Check ID")</f>
        <v>Transfer</v>
      </c>
      <c r="E157" s="12" t="s">
        <v>337</v>
      </c>
      <c r="F157" s="13">
        <v>431</v>
      </c>
    </row>
    <row r="158" spans="1:6" x14ac:dyDescent="0.3">
      <c r="A158" s="9">
        <v>45757</v>
      </c>
      <c r="B158" s="10" t="s">
        <v>198</v>
      </c>
      <c r="C158" s="11">
        <v>834</v>
      </c>
      <c r="D158" s="10" t="str">
        <f>_xlfn.XLOOKUP(C158, Mapping!$C:$C, Mapping!$E:$E, "Check ID")</f>
        <v>Transfer</v>
      </c>
      <c r="E158" s="12" t="s">
        <v>337</v>
      </c>
      <c r="F158" s="13">
        <v>500</v>
      </c>
    </row>
    <row r="159" spans="1:6" x14ac:dyDescent="0.3">
      <c r="A159" s="9">
        <v>45759</v>
      </c>
      <c r="B159" s="10" t="s">
        <v>198</v>
      </c>
      <c r="C159" s="11">
        <v>4360</v>
      </c>
      <c r="D159" s="10" t="str">
        <f>_xlfn.XLOOKUP(C159, Mapping!$C:$C, Mapping!$E:$E, "Check ID")</f>
        <v>Transfer</v>
      </c>
      <c r="E159" s="12" t="s">
        <v>337</v>
      </c>
      <c r="F159" s="13">
        <v>1500</v>
      </c>
    </row>
    <row r="160" spans="1:6" x14ac:dyDescent="0.3">
      <c r="A160" s="9">
        <v>45762</v>
      </c>
      <c r="B160" s="10" t="s">
        <v>198</v>
      </c>
      <c r="C160" s="11">
        <v>529</v>
      </c>
      <c r="D160" s="10" t="str">
        <f>_xlfn.XLOOKUP(C160, Mapping!$C:$C, Mapping!$E:$E, "Check ID")</f>
        <v>Transfer</v>
      </c>
      <c r="E160" s="12" t="s">
        <v>337</v>
      </c>
      <c r="F160" s="13">
        <v>4320</v>
      </c>
    </row>
    <row r="161" spans="1:6" x14ac:dyDescent="0.3">
      <c r="A161" s="9">
        <v>45762</v>
      </c>
      <c r="B161" s="10" t="s">
        <v>198</v>
      </c>
      <c r="C161" s="11">
        <v>1908</v>
      </c>
      <c r="D161" s="10" t="str">
        <f>_xlfn.XLOOKUP(C161, Mapping!$C:$C, Mapping!$E:$E, "Check ID")</f>
        <v>Transfer</v>
      </c>
      <c r="E161" s="12" t="s">
        <v>337</v>
      </c>
      <c r="F161" s="13">
        <v>1000</v>
      </c>
    </row>
    <row r="162" spans="1:6" x14ac:dyDescent="0.3">
      <c r="A162" s="9">
        <v>45762</v>
      </c>
      <c r="B162" s="10" t="s">
        <v>198</v>
      </c>
      <c r="C162" s="11">
        <v>295</v>
      </c>
      <c r="D162" s="10" t="str">
        <f>_xlfn.XLOOKUP(C162, Mapping!$C:$C, Mapping!$E:$E, "Check ID")</f>
        <v>Transfer</v>
      </c>
      <c r="E162" s="12" t="s">
        <v>337</v>
      </c>
      <c r="F162" s="13">
        <v>6400</v>
      </c>
    </row>
    <row r="163" spans="1:6" x14ac:dyDescent="0.3">
      <c r="A163" s="9">
        <v>45762</v>
      </c>
      <c r="B163" s="10" t="s">
        <v>198</v>
      </c>
      <c r="C163" s="11">
        <v>9032</v>
      </c>
      <c r="D163" s="10" t="str">
        <f>_xlfn.XLOOKUP(C163, Mapping!$C:$C, Mapping!$E:$E, "Check ID")</f>
        <v>Transfer</v>
      </c>
      <c r="E163" s="12" t="s">
        <v>337</v>
      </c>
      <c r="F163" s="13">
        <v>2000</v>
      </c>
    </row>
    <row r="164" spans="1:6" x14ac:dyDescent="0.3">
      <c r="A164" s="9">
        <v>45762</v>
      </c>
      <c r="B164" s="10" t="s">
        <v>198</v>
      </c>
      <c r="C164" s="11">
        <v>1862</v>
      </c>
      <c r="D164" s="10" t="str">
        <f>_xlfn.XLOOKUP(C164, Mapping!$C:$C, Mapping!$E:$E, "Check ID")</f>
        <v>Transfer</v>
      </c>
      <c r="E164" s="12" t="s">
        <v>337</v>
      </c>
      <c r="F164" s="13">
        <v>2000</v>
      </c>
    </row>
    <row r="165" spans="1:6" x14ac:dyDescent="0.3">
      <c r="A165" s="9">
        <v>45762</v>
      </c>
      <c r="B165" s="10" t="s">
        <v>198</v>
      </c>
      <c r="C165" s="11">
        <v>7910</v>
      </c>
      <c r="D165" s="10" t="str">
        <f>_xlfn.XLOOKUP(C165, Mapping!$C:$C, Mapping!$E:$E, "Check ID")</f>
        <v>Transfer</v>
      </c>
      <c r="E165" s="12" t="s">
        <v>337</v>
      </c>
      <c r="F165" s="13">
        <v>1000</v>
      </c>
    </row>
    <row r="166" spans="1:6" x14ac:dyDescent="0.3">
      <c r="A166" s="9">
        <v>45762</v>
      </c>
      <c r="B166" s="10" t="s">
        <v>198</v>
      </c>
      <c r="C166" s="11">
        <v>5075</v>
      </c>
      <c r="D166" s="10" t="str">
        <f>_xlfn.XLOOKUP(C166, Mapping!$C:$C, Mapping!$E:$E, "Check ID")</f>
        <v>Transfer</v>
      </c>
      <c r="E166" s="12" t="s">
        <v>337</v>
      </c>
      <c r="F166" s="13">
        <v>2000</v>
      </c>
    </row>
    <row r="167" spans="1:6" x14ac:dyDescent="0.3">
      <c r="A167" s="9">
        <v>45766</v>
      </c>
      <c r="B167" s="10" t="s">
        <v>198</v>
      </c>
      <c r="C167" s="11">
        <v>834</v>
      </c>
      <c r="D167" s="10" t="str">
        <f>_xlfn.XLOOKUP(C167, Mapping!$C:$C, Mapping!$E:$E, "Check ID")</f>
        <v>Transfer</v>
      </c>
      <c r="E167" s="12" t="s">
        <v>337</v>
      </c>
      <c r="F167" s="13">
        <v>500</v>
      </c>
    </row>
    <row r="168" spans="1:6" x14ac:dyDescent="0.3">
      <c r="A168" s="9">
        <v>45768</v>
      </c>
      <c r="B168" s="10" t="s">
        <v>198</v>
      </c>
      <c r="C168" s="11">
        <v>0</v>
      </c>
      <c r="D168" s="10" t="str">
        <f>_xlfn.XLOOKUP(C168, Mapping!$C:$C, Mapping!$E:$E, "Check ID")</f>
        <v>Transfer</v>
      </c>
      <c r="E168" s="12" t="s">
        <v>337</v>
      </c>
      <c r="F168" s="13">
        <v>1600</v>
      </c>
    </row>
    <row r="169" spans="1:6" x14ac:dyDescent="0.3">
      <c r="A169" s="9">
        <v>45768</v>
      </c>
      <c r="B169" s="10" t="s">
        <v>198</v>
      </c>
      <c r="C169" s="11" t="s">
        <v>3</v>
      </c>
      <c r="D169" s="10" t="str">
        <f>_xlfn.XLOOKUP(C169, Mapping!$C:$C, Mapping!$E:$E, "Check ID")</f>
        <v>Investment</v>
      </c>
      <c r="E169" s="12" t="s">
        <v>337</v>
      </c>
      <c r="F169" s="13">
        <v>29.18</v>
      </c>
    </row>
    <row r="170" spans="1:6" x14ac:dyDescent="0.3">
      <c r="A170" s="9">
        <v>45769</v>
      </c>
      <c r="B170" s="10" t="s">
        <v>198</v>
      </c>
      <c r="C170" s="11">
        <v>7507</v>
      </c>
      <c r="D170" s="10" t="str">
        <f>_xlfn.XLOOKUP(C170, Mapping!$C:$C, Mapping!$E:$E, "Check ID")</f>
        <v>Transfer</v>
      </c>
      <c r="E170" s="12" t="s">
        <v>337</v>
      </c>
      <c r="F170" s="13">
        <v>431</v>
      </c>
    </row>
    <row r="171" spans="1:6" x14ac:dyDescent="0.3">
      <c r="A171" s="9">
        <v>45772</v>
      </c>
      <c r="B171" s="10" t="s">
        <v>198</v>
      </c>
      <c r="C171" s="11">
        <v>5572</v>
      </c>
      <c r="D171" s="10" t="str">
        <f>_xlfn.XLOOKUP(C171, Mapping!$C:$C, Mapping!$E:$E, "Check ID")</f>
        <v>Transfer</v>
      </c>
      <c r="E171" s="12" t="s">
        <v>337</v>
      </c>
      <c r="F171" s="13">
        <v>1250</v>
      </c>
    </row>
    <row r="172" spans="1:6" x14ac:dyDescent="0.3">
      <c r="A172" s="9">
        <v>45774</v>
      </c>
      <c r="B172" s="10" t="s">
        <v>198</v>
      </c>
      <c r="C172" s="11">
        <v>3992</v>
      </c>
      <c r="D172" s="10" t="str">
        <f>_xlfn.XLOOKUP(C172, Mapping!$C:$C, Mapping!$E:$E, "Check ID")</f>
        <v>Transfer</v>
      </c>
      <c r="E172" s="12" t="s">
        <v>337</v>
      </c>
      <c r="F172" s="13">
        <v>2500</v>
      </c>
    </row>
    <row r="173" spans="1:6" x14ac:dyDescent="0.3">
      <c r="A173" s="9">
        <v>45762</v>
      </c>
      <c r="B173" s="10" t="s">
        <v>198</v>
      </c>
      <c r="C173" s="11">
        <v>5763</v>
      </c>
      <c r="D173" s="10" t="str">
        <f>_xlfn.XLOOKUP(C173, Mapping!$C:$C, Mapping!$E:$E, "Check ID")</f>
        <v>Transfer</v>
      </c>
      <c r="E173" s="12" t="s">
        <v>337</v>
      </c>
      <c r="F173" s="13">
        <v>3600</v>
      </c>
    </row>
    <row r="174" spans="1:6" x14ac:dyDescent="0.3">
      <c r="A174" s="9">
        <v>45762</v>
      </c>
      <c r="B174" s="10" t="s">
        <v>198</v>
      </c>
      <c r="C174" s="11" t="s">
        <v>53</v>
      </c>
      <c r="D174" s="10" t="str">
        <f>_xlfn.XLOOKUP(C174, Mapping!$C:$C, Mapping!$E:$E, "Check ID")</f>
        <v>Transfer</v>
      </c>
      <c r="E174" s="12" t="s">
        <v>337</v>
      </c>
      <c r="F174" s="13">
        <v>2000</v>
      </c>
    </row>
    <row r="175" spans="1:6" x14ac:dyDescent="0.3">
      <c r="A175" s="9">
        <v>45775</v>
      </c>
      <c r="B175" s="10" t="s">
        <v>198</v>
      </c>
      <c r="C175" s="11">
        <v>4360</v>
      </c>
      <c r="D175" s="10" t="str">
        <f>_xlfn.XLOOKUP(C175, Mapping!$C:$C, Mapping!$E:$E, "Check ID")</f>
        <v>Transfer</v>
      </c>
      <c r="E175" s="12" t="s">
        <v>337</v>
      </c>
      <c r="F175" s="13">
        <v>1500</v>
      </c>
    </row>
    <row r="176" spans="1:6" x14ac:dyDescent="0.3">
      <c r="A176" s="9">
        <v>45775</v>
      </c>
      <c r="B176" s="10" t="s">
        <v>198</v>
      </c>
      <c r="C176" s="11">
        <v>384</v>
      </c>
      <c r="D176" s="10" t="str">
        <f>_xlfn.XLOOKUP(C176, Mapping!$C:$C, Mapping!$E:$E, "Check ID")</f>
        <v>Transfer</v>
      </c>
      <c r="E176" s="12" t="s">
        <v>337</v>
      </c>
      <c r="F176" s="13">
        <v>1350</v>
      </c>
    </row>
    <row r="177" spans="1:6" x14ac:dyDescent="0.3">
      <c r="A177" s="9">
        <v>45777</v>
      </c>
      <c r="B177" s="10" t="s">
        <v>198</v>
      </c>
      <c r="C177" s="11">
        <v>1862</v>
      </c>
      <c r="D177" s="10" t="str">
        <f>_xlfn.XLOOKUP(C177, Mapping!$C:$C, Mapping!$E:$E, "Check ID")</f>
        <v>Transfer</v>
      </c>
      <c r="E177" s="12" t="s">
        <v>337</v>
      </c>
      <c r="F177" s="13">
        <v>3000</v>
      </c>
    </row>
    <row r="178" spans="1:6" x14ac:dyDescent="0.3">
      <c r="A178" s="9">
        <v>45777</v>
      </c>
      <c r="B178" s="10" t="s">
        <v>198</v>
      </c>
      <c r="C178" s="11">
        <v>6406</v>
      </c>
      <c r="D178" s="10" t="str">
        <f>_xlfn.XLOOKUP(C178, Mapping!$C:$C, Mapping!$E:$E, "Check ID")</f>
        <v>Transfer</v>
      </c>
      <c r="E178" s="12" t="s">
        <v>337</v>
      </c>
      <c r="F178" s="13">
        <v>1800</v>
      </c>
    </row>
    <row r="179" spans="1:6" x14ac:dyDescent="0.3">
      <c r="A179" s="9">
        <v>45777</v>
      </c>
      <c r="B179" s="10" t="s">
        <v>198</v>
      </c>
      <c r="C179" s="11">
        <v>9032</v>
      </c>
      <c r="D179" s="10" t="str">
        <f>_xlfn.XLOOKUP(C179, Mapping!$C:$C, Mapping!$E:$E, "Check ID")</f>
        <v>Transfer</v>
      </c>
      <c r="E179" s="12" t="s">
        <v>337</v>
      </c>
      <c r="F179" s="13">
        <v>2000</v>
      </c>
    </row>
    <row r="180" spans="1:6" x14ac:dyDescent="0.3">
      <c r="A180" s="9">
        <v>45777</v>
      </c>
      <c r="B180" s="10" t="s">
        <v>198</v>
      </c>
      <c r="C180" s="11">
        <v>1908</v>
      </c>
      <c r="D180" s="10" t="str">
        <f>_xlfn.XLOOKUP(C180, Mapping!$C:$C, Mapping!$E:$E, "Check ID")</f>
        <v>Transfer</v>
      </c>
      <c r="E180" s="12" t="s">
        <v>337</v>
      </c>
      <c r="F180" s="13">
        <v>1000</v>
      </c>
    </row>
    <row r="181" spans="1:6" x14ac:dyDescent="0.3">
      <c r="A181" s="9">
        <v>45777</v>
      </c>
      <c r="B181" s="10" t="s">
        <v>198</v>
      </c>
      <c r="C181" s="11">
        <v>7910</v>
      </c>
      <c r="D181" s="10" t="str">
        <f>_xlfn.XLOOKUP(C181, Mapping!$C:$C, Mapping!$E:$E, "Check ID")</f>
        <v>Transfer</v>
      </c>
      <c r="E181" s="12" t="s">
        <v>337</v>
      </c>
      <c r="F181" s="13">
        <v>3600</v>
      </c>
    </row>
    <row r="182" spans="1:6" x14ac:dyDescent="0.3">
      <c r="A182" s="9">
        <v>45777</v>
      </c>
      <c r="B182" s="10" t="s">
        <v>198</v>
      </c>
      <c r="C182" s="11">
        <v>197</v>
      </c>
      <c r="D182" s="10" t="str">
        <f>_xlfn.XLOOKUP(C182, Mapping!$C:$C, Mapping!$E:$E, "Check ID")</f>
        <v>Transfer</v>
      </c>
      <c r="E182" s="12" t="s">
        <v>337</v>
      </c>
      <c r="F182" s="13">
        <v>3000</v>
      </c>
    </row>
    <row r="183" spans="1:6" x14ac:dyDescent="0.3">
      <c r="A183" s="9">
        <v>45777</v>
      </c>
      <c r="B183" s="10" t="s">
        <v>198</v>
      </c>
      <c r="C183" s="11">
        <v>7904</v>
      </c>
      <c r="D183" s="10" t="str">
        <f>_xlfn.XLOOKUP(C183, Mapping!$C:$C, Mapping!$E:$E, "Check ID")</f>
        <v>Transfer</v>
      </c>
      <c r="E183" s="12" t="s">
        <v>337</v>
      </c>
      <c r="F183" s="13">
        <v>2500</v>
      </c>
    </row>
    <row r="184" spans="1:6" x14ac:dyDescent="0.3">
      <c r="A184" s="9">
        <v>45777</v>
      </c>
      <c r="B184" s="10" t="s">
        <v>198</v>
      </c>
      <c r="C184" s="11" t="s">
        <v>53</v>
      </c>
      <c r="D184" s="10" t="str">
        <f>_xlfn.XLOOKUP(C184, Mapping!$C:$C, Mapping!$E:$E, "Check ID")</f>
        <v>Transfer</v>
      </c>
      <c r="E184" s="12" t="s">
        <v>337</v>
      </c>
      <c r="F184" s="13">
        <v>2000</v>
      </c>
    </row>
    <row r="185" spans="1:6" x14ac:dyDescent="0.3">
      <c r="A185" s="9">
        <v>45777</v>
      </c>
      <c r="B185" s="10" t="s">
        <v>198</v>
      </c>
      <c r="C185" s="11">
        <v>5763</v>
      </c>
      <c r="D185" s="10" t="str">
        <f>_xlfn.XLOOKUP(C185, Mapping!$C:$C, Mapping!$E:$E, "Check ID")</f>
        <v>Transfer</v>
      </c>
      <c r="E185" s="12" t="s">
        <v>337</v>
      </c>
      <c r="F185" s="13">
        <v>3600</v>
      </c>
    </row>
    <row r="186" spans="1:6" x14ac:dyDescent="0.3">
      <c r="A186" s="9">
        <v>45777</v>
      </c>
      <c r="B186" s="10" t="s">
        <v>198</v>
      </c>
      <c r="C186" s="11">
        <v>5854</v>
      </c>
      <c r="D186" s="10" t="str">
        <f>_xlfn.XLOOKUP(C186, Mapping!$C:$C, Mapping!$E:$E, "Check ID")</f>
        <v>Transfer</v>
      </c>
      <c r="E186" s="12" t="s">
        <v>337</v>
      </c>
      <c r="F186" s="13">
        <v>2000</v>
      </c>
    </row>
    <row r="187" spans="1:6" x14ac:dyDescent="0.3">
      <c r="A187" s="9">
        <v>45778</v>
      </c>
      <c r="B187" s="10" t="s">
        <v>206</v>
      </c>
      <c r="C187" s="11">
        <v>816</v>
      </c>
      <c r="D187" s="10" t="str">
        <f>_xlfn.XLOOKUP(C187, Mapping!$C:$C, Mapping!$E:$E, "Check ID")</f>
        <v>Saving Account</v>
      </c>
      <c r="E187" s="12" t="s">
        <v>336</v>
      </c>
      <c r="F187" s="13">
        <v>29015</v>
      </c>
    </row>
    <row r="188" spans="1:6" x14ac:dyDescent="0.3">
      <c r="A188" s="9">
        <v>45778</v>
      </c>
      <c r="B188" s="10" t="s">
        <v>206</v>
      </c>
      <c r="C188" s="11">
        <v>1059</v>
      </c>
      <c r="D188" s="10" t="str">
        <f>_xlfn.XLOOKUP(C188, Mapping!$C:$C, Mapping!$E:$E, "Check ID")</f>
        <v>Phone Utilities</v>
      </c>
      <c r="E188" s="12" t="s">
        <v>336</v>
      </c>
      <c r="F188" s="13">
        <v>151</v>
      </c>
    </row>
    <row r="189" spans="1:6" x14ac:dyDescent="0.3">
      <c r="A189" s="9">
        <v>45782</v>
      </c>
      <c r="B189" s="10" t="s">
        <v>206</v>
      </c>
      <c r="C189" s="11">
        <v>6425</v>
      </c>
      <c r="D189" s="10" t="str">
        <f>_xlfn.XLOOKUP(C189, Mapping!$C:$C, Mapping!$E:$E, "Check ID")</f>
        <v>Undisclosed</v>
      </c>
      <c r="E189" s="12" t="s">
        <v>336</v>
      </c>
      <c r="F189" s="13">
        <v>500</v>
      </c>
    </row>
    <row r="190" spans="1:6" x14ac:dyDescent="0.3">
      <c r="A190" s="9">
        <v>45784</v>
      </c>
      <c r="B190" s="10" t="s">
        <v>206</v>
      </c>
      <c r="C190" s="11">
        <v>8652</v>
      </c>
      <c r="D190" s="10" t="str">
        <f>_xlfn.XLOOKUP(C190, Mapping!$C:$C, Mapping!$E:$E, "Check ID")</f>
        <v>Phone Utilities</v>
      </c>
      <c r="E190" s="12" t="s">
        <v>336</v>
      </c>
      <c r="F190" s="13">
        <v>402</v>
      </c>
    </row>
    <row r="191" spans="1:6" x14ac:dyDescent="0.3">
      <c r="A191" s="9">
        <v>45784</v>
      </c>
      <c r="B191" s="10" t="s">
        <v>206</v>
      </c>
      <c r="C191" s="11">
        <v>7862</v>
      </c>
      <c r="D191" s="10" t="str">
        <f>_xlfn.XLOOKUP(C191, Mapping!$C:$C, Mapping!$E:$E, "Check ID")</f>
        <v>Undisclosed</v>
      </c>
      <c r="E191" s="12" t="s">
        <v>336</v>
      </c>
      <c r="F191" s="13">
        <v>1700</v>
      </c>
    </row>
    <row r="192" spans="1:6" x14ac:dyDescent="0.3">
      <c r="A192" s="9">
        <v>45789</v>
      </c>
      <c r="B192" s="10" t="s">
        <v>206</v>
      </c>
      <c r="C192" s="11">
        <v>6811</v>
      </c>
      <c r="D192" s="10" t="str">
        <f>_xlfn.XLOOKUP(C192, Mapping!$C:$C, Mapping!$E:$E, "Check ID")</f>
        <v>Undisclosed</v>
      </c>
      <c r="E192" s="12" t="s">
        <v>336</v>
      </c>
      <c r="F192" s="13">
        <v>450</v>
      </c>
    </row>
    <row r="193" spans="1:6" x14ac:dyDescent="0.3">
      <c r="A193" s="9">
        <v>45792</v>
      </c>
      <c r="B193" s="10" t="s">
        <v>206</v>
      </c>
      <c r="C193" s="11">
        <v>9032</v>
      </c>
      <c r="D193" s="10" t="str">
        <f>_xlfn.XLOOKUP(C193, Mapping!$C:$C, Mapping!$E:$E, "Check ID")</f>
        <v>Transfer</v>
      </c>
      <c r="E193" s="12" t="s">
        <v>336</v>
      </c>
      <c r="F193" s="13">
        <v>10000</v>
      </c>
    </row>
    <row r="194" spans="1:6" x14ac:dyDescent="0.3">
      <c r="A194" s="9">
        <v>45792</v>
      </c>
      <c r="B194" s="10" t="s">
        <v>206</v>
      </c>
      <c r="C194" s="23">
        <v>5763</v>
      </c>
      <c r="D194" s="10" t="str">
        <f>_xlfn.XLOOKUP(C194, Mapping!$C:$C, Mapping!$E:$E, "Check ID")</f>
        <v>Transfer</v>
      </c>
      <c r="E194" s="12" t="s">
        <v>336</v>
      </c>
      <c r="F194" s="13">
        <v>18400</v>
      </c>
    </row>
    <row r="195" spans="1:6" x14ac:dyDescent="0.3">
      <c r="A195" s="9">
        <v>45793</v>
      </c>
      <c r="B195" s="10" t="s">
        <v>206</v>
      </c>
      <c r="C195" s="11">
        <v>1059</v>
      </c>
      <c r="D195" s="10" t="str">
        <f>_xlfn.XLOOKUP(C195, Mapping!$C:$C, Mapping!$E:$E, "Check ID")</f>
        <v>Phone Utilities</v>
      </c>
      <c r="E195" s="12" t="s">
        <v>336</v>
      </c>
      <c r="F195" s="13">
        <v>181</v>
      </c>
    </row>
    <row r="196" spans="1:6" x14ac:dyDescent="0.3">
      <c r="A196" s="9">
        <v>45794</v>
      </c>
      <c r="B196" s="10" t="s">
        <v>206</v>
      </c>
      <c r="C196" s="11">
        <v>5003</v>
      </c>
      <c r="D196" s="10" t="str">
        <f>_xlfn.XLOOKUP(C196, Mapping!$C:$C, Mapping!$E:$E, "Check ID")</f>
        <v>Undisclosed</v>
      </c>
      <c r="E196" s="12" t="s">
        <v>336</v>
      </c>
      <c r="F196" s="13">
        <v>260</v>
      </c>
    </row>
    <row r="197" spans="1:6" x14ac:dyDescent="0.3">
      <c r="A197" s="9">
        <v>45795</v>
      </c>
      <c r="B197" s="10" t="s">
        <v>206</v>
      </c>
      <c r="C197" s="11">
        <v>816</v>
      </c>
      <c r="D197" s="10" t="str">
        <f>_xlfn.XLOOKUP(C197, Mapping!$C:$C, Mapping!$E:$E, "Check ID")</f>
        <v>Saving Account</v>
      </c>
      <c r="E197" s="12" t="s">
        <v>336</v>
      </c>
      <c r="F197" s="13">
        <v>28015</v>
      </c>
    </row>
    <row r="198" spans="1:6" x14ac:dyDescent="0.3">
      <c r="A198" s="9">
        <v>45796</v>
      </c>
      <c r="B198" s="10" t="s">
        <v>206</v>
      </c>
      <c r="C198" s="11" t="s">
        <v>6</v>
      </c>
      <c r="D198" s="10" t="str">
        <f>_xlfn.XLOOKUP(C198, Mapping!$C:$C, Mapping!$E:$E, "Check ID")</f>
        <v>Government</v>
      </c>
      <c r="E198" s="12" t="s">
        <v>336</v>
      </c>
      <c r="F198" s="13">
        <v>6505</v>
      </c>
    </row>
    <row r="199" spans="1:6" x14ac:dyDescent="0.3">
      <c r="A199" s="9">
        <v>45799</v>
      </c>
      <c r="B199" s="10" t="s">
        <v>206</v>
      </c>
      <c r="C199" s="11" t="s">
        <v>123</v>
      </c>
      <c r="D199" s="10" t="str">
        <f>_xlfn.XLOOKUP(C199, Mapping!$C:$C, Mapping!$E:$E, "Check ID")</f>
        <v>Debt</v>
      </c>
      <c r="E199" s="12" t="s">
        <v>336</v>
      </c>
      <c r="F199" s="13">
        <v>2730.83</v>
      </c>
    </row>
    <row r="200" spans="1:6" x14ac:dyDescent="0.3">
      <c r="A200" s="9">
        <v>45800</v>
      </c>
      <c r="B200" s="10" t="s">
        <v>206</v>
      </c>
      <c r="C200" s="11">
        <v>1082</v>
      </c>
      <c r="D200" s="10" t="str">
        <f>_xlfn.XLOOKUP(C200, Mapping!$C:$C, Mapping!$E:$E, "Check ID")</f>
        <v>Transfer</v>
      </c>
      <c r="E200" s="12" t="s">
        <v>336</v>
      </c>
      <c r="F200" s="13">
        <v>5000</v>
      </c>
    </row>
    <row r="201" spans="1:6" x14ac:dyDescent="0.3">
      <c r="A201" s="9">
        <v>45801</v>
      </c>
      <c r="B201" s="10" t="s">
        <v>206</v>
      </c>
      <c r="C201" s="11">
        <v>1055</v>
      </c>
      <c r="D201" s="10" t="str">
        <f>_xlfn.XLOOKUP(C201, Mapping!$C:$C, Mapping!$E:$E, "Check ID")</f>
        <v>Undisclosed</v>
      </c>
      <c r="E201" s="12" t="s">
        <v>336</v>
      </c>
      <c r="F201" s="13">
        <v>3500</v>
      </c>
    </row>
    <row r="202" spans="1:6" x14ac:dyDescent="0.3">
      <c r="A202" s="9">
        <v>45801</v>
      </c>
      <c r="B202" s="10" t="s">
        <v>206</v>
      </c>
      <c r="C202" s="11">
        <v>6406</v>
      </c>
      <c r="D202" s="10" t="str">
        <f>_xlfn.XLOOKUP(C202, Mapping!$C:$C, Mapping!$E:$E, "Check ID")</f>
        <v>Transfer</v>
      </c>
      <c r="E202" s="12" t="s">
        <v>336</v>
      </c>
      <c r="F202" s="13">
        <v>1800</v>
      </c>
    </row>
    <row r="203" spans="1:6" x14ac:dyDescent="0.3">
      <c r="A203" s="9">
        <v>45807</v>
      </c>
      <c r="B203" s="10" t="s">
        <v>206</v>
      </c>
      <c r="C203" s="11" t="s">
        <v>93</v>
      </c>
      <c r="D203" s="10" t="str">
        <f>_xlfn.XLOOKUP(C203, Mapping!$C:$C, Mapping!$E:$E, "Check ID")</f>
        <v>Mc Payment</v>
      </c>
      <c r="E203" s="12" t="s">
        <v>336</v>
      </c>
      <c r="F203" s="13">
        <v>500</v>
      </c>
    </row>
    <row r="204" spans="1:6" x14ac:dyDescent="0.3">
      <c r="A204" s="9">
        <v>45808</v>
      </c>
      <c r="B204" s="10" t="s">
        <v>206</v>
      </c>
      <c r="C204" s="11">
        <v>9032</v>
      </c>
      <c r="D204" s="10" t="str">
        <f>_xlfn.XLOOKUP(C204, Mapping!$C:$C, Mapping!$E:$E, "Check ID")</f>
        <v>Transfer</v>
      </c>
      <c r="E204" s="12" t="s">
        <v>336</v>
      </c>
      <c r="F204" s="13">
        <v>5000</v>
      </c>
    </row>
    <row r="205" spans="1:6" x14ac:dyDescent="0.3">
      <c r="A205" s="9">
        <v>45808</v>
      </c>
      <c r="B205" s="10" t="s">
        <v>206</v>
      </c>
      <c r="C205" s="11">
        <v>6673</v>
      </c>
      <c r="D205" s="10" t="str">
        <f>_xlfn.XLOOKUP(C205, Mapping!$C:$C, Mapping!$E:$E, "Check ID")</f>
        <v>Undisclosed</v>
      </c>
      <c r="E205" s="12" t="s">
        <v>336</v>
      </c>
      <c r="F205" s="13">
        <v>2500</v>
      </c>
    </row>
    <row r="206" spans="1:6" x14ac:dyDescent="0.3">
      <c r="A206" s="9">
        <v>45778</v>
      </c>
      <c r="B206" s="10" t="s">
        <v>206</v>
      </c>
      <c r="C206" s="11">
        <v>295</v>
      </c>
      <c r="D206" s="10" t="str">
        <f>_xlfn.XLOOKUP(C206, Mapping!$C:$C, Mapping!$E:$E, "Check ID")</f>
        <v>Transfer</v>
      </c>
      <c r="E206" s="12" t="s">
        <v>337</v>
      </c>
      <c r="F206" s="13">
        <v>3600</v>
      </c>
    </row>
    <row r="207" spans="1:6" x14ac:dyDescent="0.3">
      <c r="A207" s="9">
        <v>45784</v>
      </c>
      <c r="B207" s="10" t="s">
        <v>206</v>
      </c>
      <c r="C207" s="11">
        <v>7507</v>
      </c>
      <c r="D207" s="10" t="str">
        <f>_xlfn.XLOOKUP(C207, Mapping!$C:$C, Mapping!$E:$E, "Check ID")</f>
        <v>Transfer</v>
      </c>
      <c r="E207" s="12" t="s">
        <v>337</v>
      </c>
      <c r="F207" s="13">
        <v>431</v>
      </c>
    </row>
    <row r="208" spans="1:6" x14ac:dyDescent="0.3">
      <c r="A208" s="9">
        <v>45788</v>
      </c>
      <c r="B208" s="10" t="s">
        <v>206</v>
      </c>
      <c r="C208" s="11">
        <v>7261</v>
      </c>
      <c r="D208" s="10" t="str">
        <f>_xlfn.XLOOKUP(C208, Mapping!$C:$C, Mapping!$E:$E, "Check ID")</f>
        <v>Transfer</v>
      </c>
      <c r="E208" s="12" t="s">
        <v>337</v>
      </c>
      <c r="F208" s="13">
        <v>2000</v>
      </c>
    </row>
    <row r="209" spans="1:6" x14ac:dyDescent="0.3">
      <c r="A209" s="9">
        <v>45792</v>
      </c>
      <c r="B209" s="10" t="s">
        <v>206</v>
      </c>
      <c r="C209" s="11">
        <v>1862</v>
      </c>
      <c r="D209" s="10" t="str">
        <f>_xlfn.XLOOKUP(C209, Mapping!$C:$C, Mapping!$E:$E, "Check ID")</f>
        <v>Transfer</v>
      </c>
      <c r="E209" s="12" t="s">
        <v>337</v>
      </c>
      <c r="F209" s="13">
        <v>5000</v>
      </c>
    </row>
    <row r="210" spans="1:6" x14ac:dyDescent="0.3">
      <c r="A210" s="9">
        <v>45792</v>
      </c>
      <c r="B210" s="10" t="s">
        <v>206</v>
      </c>
      <c r="C210" s="11">
        <v>7910</v>
      </c>
      <c r="D210" s="10" t="str">
        <f>_xlfn.XLOOKUP(C210, Mapping!$C:$C, Mapping!$E:$E, "Check ID")</f>
        <v>Transfer</v>
      </c>
      <c r="E210" s="12" t="s">
        <v>337</v>
      </c>
      <c r="F210" s="13">
        <v>1200</v>
      </c>
    </row>
    <row r="211" spans="1:6" x14ac:dyDescent="0.3">
      <c r="A211" s="9">
        <v>45792</v>
      </c>
      <c r="B211" s="10" t="s">
        <v>206</v>
      </c>
      <c r="C211" s="11">
        <v>295</v>
      </c>
      <c r="D211" s="10" t="str">
        <f>_xlfn.XLOOKUP(C211, Mapping!$C:$C, Mapping!$E:$E, "Check ID")</f>
        <v>Transfer</v>
      </c>
      <c r="E211" s="12" t="s">
        <v>337</v>
      </c>
      <c r="F211" s="13">
        <v>3600</v>
      </c>
    </row>
    <row r="212" spans="1:6" x14ac:dyDescent="0.3">
      <c r="A212" s="9">
        <v>45792</v>
      </c>
      <c r="B212" s="10" t="s">
        <v>206</v>
      </c>
      <c r="C212" s="11">
        <v>9032</v>
      </c>
      <c r="D212" s="10" t="str">
        <f>_xlfn.XLOOKUP(C212, Mapping!$C:$C, Mapping!$E:$E, "Check ID")</f>
        <v>Transfer</v>
      </c>
      <c r="E212" s="12" t="s">
        <v>337</v>
      </c>
      <c r="F212" s="13">
        <v>2000</v>
      </c>
    </row>
    <row r="213" spans="1:6" x14ac:dyDescent="0.3">
      <c r="A213" s="9">
        <v>45792</v>
      </c>
      <c r="B213" s="10" t="s">
        <v>206</v>
      </c>
      <c r="C213" s="11">
        <v>5763</v>
      </c>
      <c r="D213" s="10" t="str">
        <f>_xlfn.XLOOKUP(C213, Mapping!$C:$C, Mapping!$E:$E, "Check ID")</f>
        <v>Transfer</v>
      </c>
      <c r="E213" s="12" t="s">
        <v>337</v>
      </c>
      <c r="F213" s="13">
        <v>3600</v>
      </c>
    </row>
    <row r="214" spans="1:6" x14ac:dyDescent="0.3">
      <c r="A214" s="9">
        <v>45793</v>
      </c>
      <c r="B214" s="10" t="s">
        <v>206</v>
      </c>
      <c r="C214" s="11">
        <v>7096</v>
      </c>
      <c r="D214" s="10" t="str">
        <f>_xlfn.XLOOKUP(C214, Mapping!$C:$C, Mapping!$E:$E, "Check ID")</f>
        <v>Transfer</v>
      </c>
      <c r="E214" s="12" t="s">
        <v>337</v>
      </c>
      <c r="F214" s="13">
        <v>3000</v>
      </c>
    </row>
    <row r="215" spans="1:6" x14ac:dyDescent="0.3">
      <c r="A215" s="9">
        <v>45793</v>
      </c>
      <c r="B215" s="10" t="s">
        <v>206</v>
      </c>
      <c r="C215" s="11">
        <v>1908</v>
      </c>
      <c r="D215" s="10" t="str">
        <f>_xlfn.XLOOKUP(C215, Mapping!$C:$C, Mapping!$E:$E, "Check ID")</f>
        <v>Transfer</v>
      </c>
      <c r="E215" s="12" t="s">
        <v>337</v>
      </c>
      <c r="F215" s="13">
        <v>3000</v>
      </c>
    </row>
    <row r="216" spans="1:6" x14ac:dyDescent="0.3">
      <c r="A216" s="9">
        <v>45793</v>
      </c>
      <c r="B216" s="10" t="s">
        <v>206</v>
      </c>
      <c r="C216" s="11">
        <v>5672</v>
      </c>
      <c r="D216" s="10" t="str">
        <f>_xlfn.XLOOKUP(C216, Mapping!$C:$C, Mapping!$E:$E, "Check ID")</f>
        <v>Transfer</v>
      </c>
      <c r="E216" s="12" t="s">
        <v>337</v>
      </c>
      <c r="F216" s="13">
        <v>431</v>
      </c>
    </row>
    <row r="217" spans="1:6" x14ac:dyDescent="0.3">
      <c r="A217" s="9">
        <v>45793</v>
      </c>
      <c r="B217" s="10" t="s">
        <v>206</v>
      </c>
      <c r="C217" s="11">
        <v>5854</v>
      </c>
      <c r="D217" s="10" t="str">
        <f>_xlfn.XLOOKUP(C217, Mapping!$C:$C, Mapping!$E:$E, "Check ID")</f>
        <v>Transfer</v>
      </c>
      <c r="E217" s="12" t="s">
        <v>337</v>
      </c>
      <c r="F217" s="13">
        <v>2000</v>
      </c>
    </row>
    <row r="218" spans="1:6" x14ac:dyDescent="0.3">
      <c r="A218" s="9">
        <v>45794</v>
      </c>
      <c r="B218" s="10" t="s">
        <v>206</v>
      </c>
      <c r="C218" s="11">
        <v>4530</v>
      </c>
      <c r="D218" s="10" t="str">
        <f>_xlfn.XLOOKUP(C218, Mapping!$C:$C, Mapping!$E:$E, "Check ID")</f>
        <v>Saving Account</v>
      </c>
      <c r="E218" s="12" t="s">
        <v>337</v>
      </c>
      <c r="F218" s="13">
        <v>11000</v>
      </c>
    </row>
    <row r="219" spans="1:6" x14ac:dyDescent="0.3">
      <c r="A219" s="9">
        <v>45797</v>
      </c>
      <c r="B219" s="10" t="s">
        <v>206</v>
      </c>
      <c r="C219" s="11">
        <v>834</v>
      </c>
      <c r="D219" s="10" t="str">
        <f>_xlfn.XLOOKUP(C219, Mapping!$C:$C, Mapping!$E:$E, "Check ID")</f>
        <v>Transfer</v>
      </c>
      <c r="E219" s="12" t="s">
        <v>337</v>
      </c>
      <c r="F219" s="13">
        <v>1000</v>
      </c>
    </row>
    <row r="220" spans="1:6" x14ac:dyDescent="0.3">
      <c r="A220" s="9">
        <v>45798</v>
      </c>
      <c r="B220" s="10" t="s">
        <v>206</v>
      </c>
      <c r="C220" s="11">
        <v>384</v>
      </c>
      <c r="D220" s="10" t="str">
        <f>_xlfn.XLOOKUP(C220, Mapping!$C:$C, Mapping!$E:$E, "Check ID")</f>
        <v>Transfer</v>
      </c>
      <c r="E220" s="12" t="s">
        <v>337</v>
      </c>
      <c r="F220" s="13">
        <v>1500</v>
      </c>
    </row>
    <row r="221" spans="1:6" x14ac:dyDescent="0.3">
      <c r="A221" s="9">
        <v>45800</v>
      </c>
      <c r="B221" s="10" t="s">
        <v>206</v>
      </c>
      <c r="C221" s="11">
        <v>5572</v>
      </c>
      <c r="D221" s="10" t="str">
        <f>_xlfn.XLOOKUP(C221, Mapping!$C:$C, Mapping!$E:$E, "Check ID")</f>
        <v>Transfer</v>
      </c>
      <c r="E221" s="12" t="s">
        <v>337</v>
      </c>
      <c r="F221" s="13">
        <v>6500</v>
      </c>
    </row>
    <row r="222" spans="1:6" x14ac:dyDescent="0.3">
      <c r="A222" s="9">
        <v>45801</v>
      </c>
      <c r="B222" s="10" t="s">
        <v>206</v>
      </c>
      <c r="C222" s="11">
        <v>4530</v>
      </c>
      <c r="D222" s="10" t="str">
        <f>_xlfn.XLOOKUP(C222, Mapping!$C:$C, Mapping!$E:$E, "Check ID")</f>
        <v>Saving Account</v>
      </c>
      <c r="E222" s="12" t="s">
        <v>337</v>
      </c>
      <c r="F222" s="13">
        <v>3500</v>
      </c>
    </row>
    <row r="223" spans="1:6" x14ac:dyDescent="0.3">
      <c r="A223" s="9">
        <v>45806</v>
      </c>
      <c r="B223" s="10" t="s">
        <v>206</v>
      </c>
      <c r="C223" s="11">
        <v>5763</v>
      </c>
      <c r="D223" s="10" t="str">
        <f>_xlfn.XLOOKUP(C223, Mapping!$C:$C, Mapping!$E:$E, "Check ID")</f>
        <v>Transfer</v>
      </c>
      <c r="E223" s="12" t="s">
        <v>337</v>
      </c>
      <c r="F223" s="13">
        <v>3600</v>
      </c>
    </row>
    <row r="224" spans="1:6" x14ac:dyDescent="0.3">
      <c r="A224" s="9">
        <v>45807</v>
      </c>
      <c r="B224" s="10" t="s">
        <v>206</v>
      </c>
      <c r="C224" s="11">
        <v>295</v>
      </c>
      <c r="D224" s="10" t="str">
        <f>_xlfn.XLOOKUP(C224, Mapping!$C:$C, Mapping!$E:$E, "Check ID")</f>
        <v>Transfer</v>
      </c>
      <c r="E224" s="12" t="s">
        <v>337</v>
      </c>
      <c r="F224" s="13">
        <v>3600</v>
      </c>
    </row>
    <row r="225" spans="1:6" x14ac:dyDescent="0.3">
      <c r="A225" s="9">
        <v>45807</v>
      </c>
      <c r="B225" s="10" t="s">
        <v>206</v>
      </c>
      <c r="C225" s="11">
        <v>7904</v>
      </c>
      <c r="D225" s="10" t="str">
        <f>_xlfn.XLOOKUP(C225, Mapping!$C:$C, Mapping!$E:$E, "Check ID")</f>
        <v>Transfer</v>
      </c>
      <c r="E225" s="12" t="s">
        <v>337</v>
      </c>
      <c r="F225" s="13">
        <v>3000</v>
      </c>
    </row>
    <row r="226" spans="1:6" x14ac:dyDescent="0.3">
      <c r="A226" s="9">
        <v>45807</v>
      </c>
      <c r="B226" s="10" t="s">
        <v>206</v>
      </c>
      <c r="C226" s="11">
        <v>1862</v>
      </c>
      <c r="D226" s="10" t="str">
        <f>_xlfn.XLOOKUP(C226, Mapping!$C:$C, Mapping!$E:$E, "Check ID")</f>
        <v>Transfer</v>
      </c>
      <c r="E226" s="12" t="s">
        <v>337</v>
      </c>
      <c r="F226" s="13">
        <v>5000</v>
      </c>
    </row>
    <row r="227" spans="1:6" x14ac:dyDescent="0.3">
      <c r="A227" s="9">
        <v>45807</v>
      </c>
      <c r="B227" s="10" t="s">
        <v>206</v>
      </c>
      <c r="C227" s="11">
        <v>9032</v>
      </c>
      <c r="D227" s="10" t="str">
        <f>_xlfn.XLOOKUP(C227, Mapping!$C:$C, Mapping!$E:$E, "Check ID")</f>
        <v>Transfer</v>
      </c>
      <c r="E227" s="12" t="s">
        <v>337</v>
      </c>
      <c r="F227" s="13">
        <v>2000</v>
      </c>
    </row>
    <row r="228" spans="1:6" x14ac:dyDescent="0.3">
      <c r="A228" s="9">
        <v>45807</v>
      </c>
      <c r="B228" s="10" t="s">
        <v>206</v>
      </c>
      <c r="C228" s="11">
        <v>4085</v>
      </c>
      <c r="D228" s="10" t="str">
        <f>_xlfn.XLOOKUP(C228, Mapping!$C:$C, Mapping!$E:$E, "Check ID")</f>
        <v>Transfer</v>
      </c>
      <c r="E228" s="12" t="s">
        <v>337</v>
      </c>
      <c r="F228" s="13">
        <v>1500</v>
      </c>
    </row>
    <row r="229" spans="1:6" x14ac:dyDescent="0.3">
      <c r="A229" s="9">
        <v>45807</v>
      </c>
      <c r="B229" s="10" t="s">
        <v>206</v>
      </c>
      <c r="C229" s="11" t="s">
        <v>53</v>
      </c>
      <c r="D229" s="10" t="str">
        <f>_xlfn.XLOOKUP(C229, Mapping!$C:$C, Mapping!$E:$E, "Check ID")</f>
        <v>Transfer</v>
      </c>
      <c r="E229" s="12" t="s">
        <v>337</v>
      </c>
      <c r="F229" s="13">
        <v>2000</v>
      </c>
    </row>
    <row r="230" spans="1:6" x14ac:dyDescent="0.3">
      <c r="A230" s="9">
        <v>45808</v>
      </c>
      <c r="B230" s="10" t="s">
        <v>206</v>
      </c>
      <c r="C230" s="11">
        <v>9090</v>
      </c>
      <c r="D230" s="10" t="str">
        <f>_xlfn.XLOOKUP(C230, Mapping!$C:$C, Mapping!$E:$E, "Check ID")</f>
        <v>Transfer</v>
      </c>
      <c r="E230" s="12" t="s">
        <v>337</v>
      </c>
      <c r="F230" s="13">
        <v>1000</v>
      </c>
    </row>
    <row r="231" spans="1:6" x14ac:dyDescent="0.3">
      <c r="A231" s="9">
        <v>45808</v>
      </c>
      <c r="B231" s="10" t="s">
        <v>206</v>
      </c>
      <c r="C231" s="11">
        <v>7261</v>
      </c>
      <c r="D231" s="10" t="str">
        <f>_xlfn.XLOOKUP(C231, Mapping!$C:$C, Mapping!$E:$E, "Check ID")</f>
        <v>Transfer</v>
      </c>
      <c r="E231" s="12" t="s">
        <v>337</v>
      </c>
      <c r="F231" s="13">
        <v>1540</v>
      </c>
    </row>
    <row r="232" spans="1:6" x14ac:dyDescent="0.3">
      <c r="A232" s="9">
        <v>45809</v>
      </c>
      <c r="B232" s="10" t="s">
        <v>216</v>
      </c>
      <c r="C232" s="11">
        <v>816</v>
      </c>
      <c r="D232" s="10" t="str">
        <f>_xlfn.XLOOKUP(C232, Mapping!$C:$C, Mapping!$E:$E, "Check ID")</f>
        <v>Saving Account</v>
      </c>
      <c r="E232" s="12" t="s">
        <v>336</v>
      </c>
      <c r="F232" s="13">
        <v>5515</v>
      </c>
    </row>
    <row r="233" spans="1:6" x14ac:dyDescent="0.3">
      <c r="A233" s="9">
        <v>45809</v>
      </c>
      <c r="B233" s="10" t="s">
        <v>216</v>
      </c>
      <c r="C233" s="11">
        <v>1059</v>
      </c>
      <c r="D233" s="10" t="str">
        <f>_xlfn.XLOOKUP(C233, Mapping!$C:$C, Mapping!$E:$E, "Check ID")</f>
        <v>Phone Utilities</v>
      </c>
      <c r="E233" s="12" t="s">
        <v>336</v>
      </c>
      <c r="F233" s="13">
        <v>181</v>
      </c>
    </row>
    <row r="234" spans="1:6" x14ac:dyDescent="0.3">
      <c r="A234" s="9">
        <v>45810</v>
      </c>
      <c r="B234" s="10" t="s">
        <v>216</v>
      </c>
      <c r="C234" s="11">
        <v>7586</v>
      </c>
      <c r="D234" s="10" t="str">
        <f>_xlfn.XLOOKUP(C234, Mapping!$C:$C, Mapping!$E:$E, "Check ID")</f>
        <v>Transfer</v>
      </c>
      <c r="E234" s="12" t="s">
        <v>336</v>
      </c>
      <c r="F234" s="13">
        <v>1500</v>
      </c>
    </row>
    <row r="235" spans="1:6" x14ac:dyDescent="0.3">
      <c r="A235" s="9">
        <v>45812</v>
      </c>
      <c r="B235" s="10" t="s">
        <v>216</v>
      </c>
      <c r="C235" s="11">
        <v>7310</v>
      </c>
      <c r="D235" s="10" t="str">
        <f>_xlfn.XLOOKUP(C235, Mapping!$C:$C, Mapping!$E:$E, "Check ID")</f>
        <v>Transfer</v>
      </c>
      <c r="E235" s="12" t="s">
        <v>336</v>
      </c>
      <c r="F235" s="13">
        <v>1015</v>
      </c>
    </row>
    <row r="236" spans="1:6" x14ac:dyDescent="0.3">
      <c r="A236" s="9">
        <v>45812</v>
      </c>
      <c r="B236" s="10" t="s">
        <v>216</v>
      </c>
      <c r="C236" s="11">
        <v>9438</v>
      </c>
      <c r="D236" s="10" t="str">
        <f>_xlfn.XLOOKUP(C236, Mapping!$C:$C, Mapping!$E:$E, "Check ID")</f>
        <v>Undisclosed</v>
      </c>
      <c r="E236" s="12" t="s">
        <v>336</v>
      </c>
      <c r="F236" s="13">
        <v>1000</v>
      </c>
    </row>
    <row r="237" spans="1:6" x14ac:dyDescent="0.3">
      <c r="A237" s="9">
        <v>45813</v>
      </c>
      <c r="B237" s="10" t="s">
        <v>216</v>
      </c>
      <c r="C237" s="11">
        <v>1004</v>
      </c>
      <c r="D237" s="10" t="str">
        <f>_xlfn.XLOOKUP(C237, Mapping!$C:$C, Mapping!$E:$E, "Check ID")</f>
        <v>Transfer</v>
      </c>
      <c r="E237" s="12" t="s">
        <v>336</v>
      </c>
      <c r="F237" s="13">
        <v>2000</v>
      </c>
    </row>
    <row r="238" spans="1:6" x14ac:dyDescent="0.3">
      <c r="A238" s="9">
        <v>45813</v>
      </c>
      <c r="B238" s="10" t="s">
        <v>216</v>
      </c>
      <c r="C238" s="11">
        <v>7269</v>
      </c>
      <c r="D238" s="10" t="str">
        <f>_xlfn.XLOOKUP(C238, Mapping!$C:$C, Mapping!$E:$E, "Check ID")</f>
        <v>Undisclosed</v>
      </c>
      <c r="E238" s="12" t="s">
        <v>336</v>
      </c>
      <c r="F238" s="13">
        <v>850</v>
      </c>
    </row>
    <row r="239" spans="1:6" x14ac:dyDescent="0.3">
      <c r="A239" s="9">
        <v>45816</v>
      </c>
      <c r="B239" s="10" t="s">
        <v>216</v>
      </c>
      <c r="C239" s="11">
        <v>9090</v>
      </c>
      <c r="D239" s="10" t="str">
        <f>_xlfn.XLOOKUP(C239, Mapping!$C:$C, Mapping!$E:$E, "Check ID")</f>
        <v>Transfer</v>
      </c>
      <c r="E239" s="12" t="s">
        <v>336</v>
      </c>
      <c r="F239" s="13">
        <v>1525</v>
      </c>
    </row>
    <row r="240" spans="1:6" x14ac:dyDescent="0.3">
      <c r="A240" s="9">
        <v>45817</v>
      </c>
      <c r="B240" s="10" t="s">
        <v>216</v>
      </c>
      <c r="C240" s="11">
        <v>3544</v>
      </c>
      <c r="D240" s="10" t="str">
        <f>_xlfn.XLOOKUP(C240, Mapping!$C:$C, Mapping!$E:$E, "Check ID")</f>
        <v>Undisclosed</v>
      </c>
      <c r="E240" s="12" t="s">
        <v>336</v>
      </c>
      <c r="F240" s="13">
        <v>200</v>
      </c>
    </row>
    <row r="241" spans="1:6" x14ac:dyDescent="0.3">
      <c r="A241" s="9">
        <v>45821</v>
      </c>
      <c r="B241" s="10" t="s">
        <v>216</v>
      </c>
      <c r="C241" s="11" t="s">
        <v>112</v>
      </c>
      <c r="D241" s="10" t="str">
        <f>_xlfn.XLOOKUP(C241, Mapping!$C:$C, Mapping!$E:$E, "Check ID")</f>
        <v>Toll Fee</v>
      </c>
      <c r="E241" s="12" t="s">
        <v>336</v>
      </c>
      <c r="F241" s="13">
        <v>1010</v>
      </c>
    </row>
    <row r="242" spans="1:6" x14ac:dyDescent="0.3">
      <c r="A242" s="9">
        <v>45822</v>
      </c>
      <c r="B242" s="10" t="s">
        <v>216</v>
      </c>
      <c r="C242" s="11">
        <v>1103</v>
      </c>
      <c r="D242" s="10" t="str">
        <f>_xlfn.XLOOKUP(C242, Mapping!$C:$C, Mapping!$E:$E, "Check ID")</f>
        <v>Undisclosed</v>
      </c>
      <c r="E242" s="12" t="s">
        <v>336</v>
      </c>
      <c r="F242" s="13">
        <v>2000</v>
      </c>
    </row>
    <row r="243" spans="1:6" x14ac:dyDescent="0.3">
      <c r="A243" s="9">
        <v>45823</v>
      </c>
      <c r="B243" s="10" t="s">
        <v>216</v>
      </c>
      <c r="C243" s="11">
        <v>7310</v>
      </c>
      <c r="D243" s="10" t="str">
        <f>_xlfn.XLOOKUP(C243, Mapping!$C:$C, Mapping!$E:$E, "Check ID")</f>
        <v>Transfer</v>
      </c>
      <c r="E243" s="12" t="s">
        <v>336</v>
      </c>
      <c r="F243" s="13">
        <v>5015</v>
      </c>
    </row>
    <row r="244" spans="1:6" x14ac:dyDescent="0.3">
      <c r="A244" s="9">
        <v>45824</v>
      </c>
      <c r="B244" s="10" t="s">
        <v>216</v>
      </c>
      <c r="C244" s="11">
        <v>1059</v>
      </c>
      <c r="D244" s="10" t="str">
        <f>_xlfn.XLOOKUP(C244, Mapping!$C:$C, Mapping!$E:$E, "Check ID")</f>
        <v>Phone Utilities</v>
      </c>
      <c r="E244" s="12" t="s">
        <v>336</v>
      </c>
      <c r="F244" s="13">
        <v>181</v>
      </c>
    </row>
    <row r="245" spans="1:6" x14ac:dyDescent="0.3">
      <c r="A245" s="9">
        <v>45825</v>
      </c>
      <c r="B245" s="10" t="s">
        <v>216</v>
      </c>
      <c r="C245" s="11">
        <v>816</v>
      </c>
      <c r="D245" s="10" t="str">
        <f>_xlfn.XLOOKUP(C245, Mapping!$C:$C, Mapping!$E:$E, "Check ID")</f>
        <v>Saving Account</v>
      </c>
      <c r="E245" s="12" t="s">
        <v>336</v>
      </c>
      <c r="F245" s="13">
        <v>50015</v>
      </c>
    </row>
    <row r="246" spans="1:6" x14ac:dyDescent="0.3">
      <c r="A246" s="9">
        <v>45825</v>
      </c>
      <c r="B246" s="10" t="s">
        <v>216</v>
      </c>
      <c r="C246" s="11">
        <v>4210</v>
      </c>
      <c r="D246" s="10" t="str">
        <f>_xlfn.XLOOKUP(C246, Mapping!$C:$C, Mapping!$E:$E, "Check ID")</f>
        <v>Undisclosed</v>
      </c>
      <c r="E246" s="12" t="s">
        <v>336</v>
      </c>
      <c r="F246" s="13">
        <v>1250</v>
      </c>
    </row>
    <row r="247" spans="1:6" x14ac:dyDescent="0.3">
      <c r="A247" s="9">
        <v>45827</v>
      </c>
      <c r="B247" s="10" t="s">
        <v>216</v>
      </c>
      <c r="C247" s="11" t="s">
        <v>123</v>
      </c>
      <c r="D247" s="10" t="str">
        <f>_xlfn.XLOOKUP(C247, Mapping!$C:$C, Mapping!$E:$E, "Check ID")</f>
        <v>Debt</v>
      </c>
      <c r="E247" s="12" t="s">
        <v>336</v>
      </c>
      <c r="F247" s="13">
        <v>2730.83</v>
      </c>
    </row>
    <row r="248" spans="1:6" x14ac:dyDescent="0.3">
      <c r="A248" s="9">
        <v>45827</v>
      </c>
      <c r="B248" s="10" t="s">
        <v>216</v>
      </c>
      <c r="C248" s="11" t="s">
        <v>3</v>
      </c>
      <c r="D248" s="10" t="str">
        <f>_xlfn.XLOOKUP(C248, Mapping!$C:$C, Mapping!$E:$E, "Check ID")</f>
        <v>Investment</v>
      </c>
      <c r="E248" s="12" t="s">
        <v>336</v>
      </c>
      <c r="F248" s="13">
        <v>1500</v>
      </c>
    </row>
    <row r="249" spans="1:6" x14ac:dyDescent="0.3">
      <c r="A249" s="9">
        <v>45829</v>
      </c>
      <c r="B249" s="10" t="s">
        <v>216</v>
      </c>
      <c r="C249" s="11">
        <v>4969</v>
      </c>
      <c r="D249" s="10" t="str">
        <f>_xlfn.XLOOKUP(C249, Mapping!$C:$C, Mapping!$E:$E, "Check ID")</f>
        <v>Phone Utilities</v>
      </c>
      <c r="E249" s="12" t="s">
        <v>336</v>
      </c>
      <c r="F249" s="13">
        <v>400</v>
      </c>
    </row>
    <row r="250" spans="1:6" x14ac:dyDescent="0.3">
      <c r="A250" s="9">
        <v>45833</v>
      </c>
      <c r="B250" s="10" t="s">
        <v>216</v>
      </c>
      <c r="C250" s="11">
        <v>4690</v>
      </c>
      <c r="D250" s="10" t="str">
        <f>_xlfn.XLOOKUP(C250, Mapping!$C:$C, Mapping!$E:$E, "Check ID")</f>
        <v>Terra Transfer</v>
      </c>
      <c r="E250" s="12" t="s">
        <v>336</v>
      </c>
      <c r="F250" s="13">
        <v>2000</v>
      </c>
    </row>
    <row r="251" spans="1:6" x14ac:dyDescent="0.3">
      <c r="A251" s="9">
        <v>45833</v>
      </c>
      <c r="B251" s="10" t="s">
        <v>216</v>
      </c>
      <c r="C251" s="11">
        <v>1082</v>
      </c>
      <c r="D251" s="10" t="str">
        <f>_xlfn.XLOOKUP(C251, Mapping!$C:$C, Mapping!$E:$E, "Check ID")</f>
        <v>Transfer</v>
      </c>
      <c r="E251" s="12" t="s">
        <v>336</v>
      </c>
      <c r="F251" s="13">
        <v>5000</v>
      </c>
    </row>
    <row r="252" spans="1:6" x14ac:dyDescent="0.3">
      <c r="A252" s="9">
        <v>45836</v>
      </c>
      <c r="B252" s="10" t="s">
        <v>216</v>
      </c>
      <c r="C252" s="11">
        <v>7340</v>
      </c>
      <c r="D252" s="10" t="str">
        <f>_xlfn.XLOOKUP(C252, Mapping!$C:$C, Mapping!$E:$E, "Check ID")</f>
        <v>Undisclosed</v>
      </c>
      <c r="E252" s="12" t="s">
        <v>336</v>
      </c>
      <c r="F252" s="13">
        <v>415</v>
      </c>
    </row>
    <row r="253" spans="1:6" x14ac:dyDescent="0.3">
      <c r="A253" s="9">
        <v>45838</v>
      </c>
      <c r="B253" s="10" t="s">
        <v>216</v>
      </c>
      <c r="C253" s="11" t="s">
        <v>6</v>
      </c>
      <c r="D253" s="10" t="str">
        <f>_xlfn.XLOOKUP(C253, Mapping!$C:$C, Mapping!$E:$E, "Check ID")</f>
        <v>Government</v>
      </c>
      <c r="E253" s="12" t="s">
        <v>336</v>
      </c>
      <c r="F253" s="13">
        <v>6505</v>
      </c>
    </row>
    <row r="254" spans="1:6" x14ac:dyDescent="0.3">
      <c r="A254" s="9">
        <v>45838</v>
      </c>
      <c r="B254" s="10" t="s">
        <v>216</v>
      </c>
      <c r="C254" s="11">
        <v>367</v>
      </c>
      <c r="D254" s="10" t="str">
        <f>_xlfn.XLOOKUP(C254, Mapping!$C:$C, Mapping!$E:$E, "Check ID")</f>
        <v>Undisclosed</v>
      </c>
      <c r="E254" s="12" t="s">
        <v>336</v>
      </c>
      <c r="F254" s="13">
        <v>5000</v>
      </c>
    </row>
    <row r="255" spans="1:6" x14ac:dyDescent="0.3">
      <c r="A255" s="9">
        <v>45809</v>
      </c>
      <c r="B255" s="10" t="s">
        <v>216</v>
      </c>
      <c r="C255" s="11">
        <v>4360</v>
      </c>
      <c r="D255" s="10" t="str">
        <f>_xlfn.XLOOKUP(C255, Mapping!$C:$C, Mapping!$E:$E, "Check ID")</f>
        <v>Transfer</v>
      </c>
      <c r="E255" s="12" t="s">
        <v>337</v>
      </c>
      <c r="F255" s="13">
        <v>1000</v>
      </c>
    </row>
    <row r="256" spans="1:6" x14ac:dyDescent="0.3">
      <c r="A256" s="9">
        <v>45813</v>
      </c>
      <c r="B256" s="10" t="s">
        <v>216</v>
      </c>
      <c r="C256" s="11">
        <v>4360</v>
      </c>
      <c r="D256" s="10" t="str">
        <f>_xlfn.XLOOKUP(C256, Mapping!$C:$C, Mapping!$E:$E, "Check ID")</f>
        <v>Transfer</v>
      </c>
      <c r="E256" s="12" t="s">
        <v>337</v>
      </c>
      <c r="F256" s="13">
        <v>500</v>
      </c>
    </row>
    <row r="257" spans="1:6" x14ac:dyDescent="0.3">
      <c r="A257" s="9">
        <v>45813</v>
      </c>
      <c r="B257" s="10" t="s">
        <v>216</v>
      </c>
      <c r="C257" s="11">
        <v>7276</v>
      </c>
      <c r="D257" s="10" t="str">
        <f>_xlfn.XLOOKUP(C257, Mapping!$C:$C, Mapping!$E:$E, "Check ID")</f>
        <v>Transfer</v>
      </c>
      <c r="E257" s="12" t="s">
        <v>337</v>
      </c>
      <c r="F257" s="13">
        <v>3000</v>
      </c>
    </row>
    <row r="258" spans="1:6" x14ac:dyDescent="0.3">
      <c r="A258" s="9">
        <v>45815</v>
      </c>
      <c r="B258" s="10" t="s">
        <v>216</v>
      </c>
      <c r="C258" s="11">
        <v>6406</v>
      </c>
      <c r="D258" s="10" t="str">
        <f>_xlfn.XLOOKUP(C258, Mapping!$C:$C, Mapping!$E:$E, "Check ID")</f>
        <v>Transfer</v>
      </c>
      <c r="E258" s="12" t="s">
        <v>337</v>
      </c>
      <c r="F258" s="13">
        <v>1800</v>
      </c>
    </row>
    <row r="259" spans="1:6" x14ac:dyDescent="0.3">
      <c r="A259" s="9">
        <v>45815</v>
      </c>
      <c r="B259" s="10" t="s">
        <v>216</v>
      </c>
      <c r="C259" s="11">
        <v>5854</v>
      </c>
      <c r="D259" s="10" t="str">
        <f>_xlfn.XLOOKUP(C259, Mapping!$C:$C, Mapping!$E:$E, "Check ID")</f>
        <v>Transfer</v>
      </c>
      <c r="E259" s="12" t="s">
        <v>337</v>
      </c>
      <c r="F259" s="13">
        <v>1500</v>
      </c>
    </row>
    <row r="260" spans="1:6" x14ac:dyDescent="0.3">
      <c r="A260" s="9">
        <v>45816</v>
      </c>
      <c r="B260" s="10" t="s">
        <v>216</v>
      </c>
      <c r="C260" s="11">
        <v>7903</v>
      </c>
      <c r="D260" s="10" t="str">
        <f>_xlfn.XLOOKUP(C260, Mapping!$C:$C, Mapping!$E:$E, "Check ID")</f>
        <v>Transfer</v>
      </c>
      <c r="E260" s="12" t="s">
        <v>337</v>
      </c>
      <c r="F260" s="13">
        <v>4000</v>
      </c>
    </row>
    <row r="261" spans="1:6" x14ac:dyDescent="0.3">
      <c r="A261" s="9">
        <v>45822</v>
      </c>
      <c r="B261" s="10" t="s">
        <v>216</v>
      </c>
      <c r="C261" s="11">
        <v>9032</v>
      </c>
      <c r="D261" s="10" t="str">
        <f>_xlfn.XLOOKUP(C261, Mapping!$C:$C, Mapping!$E:$E, "Check ID")</f>
        <v>Transfer</v>
      </c>
      <c r="E261" s="12" t="s">
        <v>337</v>
      </c>
      <c r="F261" s="13">
        <v>3000</v>
      </c>
    </row>
    <row r="262" spans="1:6" x14ac:dyDescent="0.3">
      <c r="A262" s="9">
        <v>45823</v>
      </c>
      <c r="B262" s="10" t="s">
        <v>216</v>
      </c>
      <c r="C262" s="11">
        <v>4530</v>
      </c>
      <c r="D262" s="10" t="str">
        <f>_xlfn.XLOOKUP(C262, Mapping!$C:$C, Mapping!$E:$E, "Check ID")</f>
        <v>Saving Account</v>
      </c>
      <c r="E262" s="12" t="s">
        <v>337</v>
      </c>
      <c r="F262" s="13">
        <v>25000</v>
      </c>
    </row>
    <row r="263" spans="1:6" x14ac:dyDescent="0.3">
      <c r="A263" s="9">
        <v>45824</v>
      </c>
      <c r="B263" s="10" t="s">
        <v>216</v>
      </c>
      <c r="C263" s="11">
        <v>295</v>
      </c>
      <c r="D263" s="10" t="str">
        <f>_xlfn.XLOOKUP(C263, Mapping!$C:$C, Mapping!$E:$E, "Check ID")</f>
        <v>Transfer</v>
      </c>
      <c r="E263" s="12" t="s">
        <v>337</v>
      </c>
      <c r="F263" s="13">
        <v>5600</v>
      </c>
    </row>
    <row r="264" spans="1:6" x14ac:dyDescent="0.3">
      <c r="A264" s="9">
        <v>45824</v>
      </c>
      <c r="B264" s="10" t="s">
        <v>216</v>
      </c>
      <c r="C264" s="11">
        <v>5680</v>
      </c>
      <c r="D264" s="10" t="str">
        <f>_xlfn.XLOOKUP(C264, Mapping!$C:$C, Mapping!$E:$E, "Check ID")</f>
        <v>Transfer</v>
      </c>
      <c r="E264" s="12" t="s">
        <v>337</v>
      </c>
      <c r="F264" s="13">
        <v>1600</v>
      </c>
    </row>
    <row r="265" spans="1:6" x14ac:dyDescent="0.3">
      <c r="A265" s="9">
        <v>45825</v>
      </c>
      <c r="B265" s="10" t="s">
        <v>216</v>
      </c>
      <c r="C265" s="11">
        <v>834</v>
      </c>
      <c r="D265" s="10" t="str">
        <f>_xlfn.XLOOKUP(C265, Mapping!$C:$C, Mapping!$E:$E, "Check ID")</f>
        <v>Transfer</v>
      </c>
      <c r="E265" s="12" t="s">
        <v>337</v>
      </c>
      <c r="F265" s="13">
        <v>1500</v>
      </c>
    </row>
    <row r="266" spans="1:6" x14ac:dyDescent="0.3">
      <c r="A266" s="9">
        <v>45825</v>
      </c>
      <c r="B266" s="10" t="s">
        <v>216</v>
      </c>
      <c r="C266" s="11">
        <v>7096</v>
      </c>
      <c r="D266" s="10" t="str">
        <f>_xlfn.XLOOKUP(C266, Mapping!$C:$C, Mapping!$E:$E, "Check ID")</f>
        <v>Transfer</v>
      </c>
      <c r="E266" s="12" t="s">
        <v>337</v>
      </c>
      <c r="F266" s="13">
        <v>2000</v>
      </c>
    </row>
    <row r="267" spans="1:6" x14ac:dyDescent="0.3">
      <c r="A267" s="9">
        <v>45825</v>
      </c>
      <c r="B267" s="10" t="s">
        <v>216</v>
      </c>
      <c r="C267" s="11" t="s">
        <v>7</v>
      </c>
      <c r="D267" s="10" t="str">
        <f>_xlfn.XLOOKUP(C267, Mapping!$C:$C, Mapping!$E:$E, "Check ID")</f>
        <v>Cash_In</v>
      </c>
      <c r="E267" s="12" t="s">
        <v>337</v>
      </c>
      <c r="F267" s="13">
        <v>8980</v>
      </c>
    </row>
    <row r="268" spans="1:6" x14ac:dyDescent="0.3">
      <c r="A268" s="9">
        <v>45827</v>
      </c>
      <c r="B268" s="10" t="s">
        <v>216</v>
      </c>
      <c r="C268" s="11">
        <v>197</v>
      </c>
      <c r="D268" s="10" t="str">
        <f>_xlfn.XLOOKUP(C268, Mapping!$C:$C, Mapping!$E:$E, "Check ID")</f>
        <v>Transfer</v>
      </c>
      <c r="E268" s="12" t="s">
        <v>337</v>
      </c>
      <c r="F268" s="13">
        <v>3000</v>
      </c>
    </row>
    <row r="269" spans="1:6" x14ac:dyDescent="0.3">
      <c r="A269" s="9">
        <v>45833</v>
      </c>
      <c r="B269" s="10" t="s">
        <v>216</v>
      </c>
      <c r="C269" s="11">
        <v>1082</v>
      </c>
      <c r="D269" s="10" t="str">
        <f>_xlfn.XLOOKUP(C269, Mapping!$C:$C, Mapping!$E:$E, "Check ID")</f>
        <v>Transfer</v>
      </c>
      <c r="E269" s="12" t="s">
        <v>337</v>
      </c>
      <c r="F269" s="13">
        <v>6500</v>
      </c>
    </row>
    <row r="270" spans="1:6" x14ac:dyDescent="0.3">
      <c r="A270" s="9">
        <v>45833</v>
      </c>
      <c r="B270" s="10" t="s">
        <v>216</v>
      </c>
      <c r="C270" s="11">
        <v>7336</v>
      </c>
      <c r="D270" s="10" t="str">
        <f>_xlfn.XLOOKUP(C270, Mapping!$C:$C, Mapping!$E:$E, "Check ID")</f>
        <v>Transfer</v>
      </c>
      <c r="E270" s="12" t="s">
        <v>337</v>
      </c>
      <c r="F270" s="13">
        <v>1250</v>
      </c>
    </row>
    <row r="271" spans="1:6" x14ac:dyDescent="0.3">
      <c r="A271" s="9">
        <v>45835</v>
      </c>
      <c r="B271" s="10" t="s">
        <v>216</v>
      </c>
      <c r="C271" s="11">
        <v>466</v>
      </c>
      <c r="D271" s="10" t="str">
        <f>_xlfn.XLOOKUP(C271, Mapping!$C:$C, Mapping!$E:$E, "Check ID")</f>
        <v>Transfer</v>
      </c>
      <c r="E271" s="12" t="s">
        <v>337</v>
      </c>
      <c r="F271" s="13">
        <v>862</v>
      </c>
    </row>
    <row r="272" spans="1:6" x14ac:dyDescent="0.3">
      <c r="A272" s="9">
        <v>45838</v>
      </c>
      <c r="B272" s="10" t="s">
        <v>216</v>
      </c>
      <c r="C272" s="11">
        <v>1862</v>
      </c>
      <c r="D272" s="10" t="str">
        <f>_xlfn.XLOOKUP(C272, Mapping!$C:$C, Mapping!$E:$E, "Check ID")</f>
        <v>Transfer</v>
      </c>
      <c r="E272" s="12" t="s">
        <v>337</v>
      </c>
      <c r="F272" s="13">
        <v>5000</v>
      </c>
    </row>
    <row r="273" spans="1:6" x14ac:dyDescent="0.3">
      <c r="A273" s="9">
        <v>45838</v>
      </c>
      <c r="B273" s="10" t="s">
        <v>216</v>
      </c>
      <c r="C273" s="11">
        <v>9032</v>
      </c>
      <c r="D273" s="10" t="str">
        <f>_xlfn.XLOOKUP(C273, Mapping!$C:$C, Mapping!$E:$E, "Check ID")</f>
        <v>Transfer</v>
      </c>
      <c r="E273" s="12" t="s">
        <v>337</v>
      </c>
      <c r="F273" s="13">
        <v>3000</v>
      </c>
    </row>
    <row r="274" spans="1:6" x14ac:dyDescent="0.3">
      <c r="A274" s="9">
        <v>45838</v>
      </c>
      <c r="B274" s="10" t="s">
        <v>216</v>
      </c>
      <c r="C274" s="11">
        <v>4530</v>
      </c>
      <c r="D274" s="10" t="str">
        <f>_xlfn.XLOOKUP(C274, Mapping!$C:$C, Mapping!$E:$E, "Check ID")</f>
        <v>Saving Account</v>
      </c>
      <c r="E274" s="12" t="s">
        <v>337</v>
      </c>
      <c r="F274" s="13">
        <v>26000</v>
      </c>
    </row>
    <row r="275" spans="1:6" x14ac:dyDescent="0.3">
      <c r="A275" s="9">
        <v>45838</v>
      </c>
      <c r="B275" s="10" t="s">
        <v>216</v>
      </c>
      <c r="C275" s="11">
        <v>5763</v>
      </c>
      <c r="D275" s="10" t="str">
        <f>_xlfn.XLOOKUP(C275, Mapping!$C:$C, Mapping!$E:$E, "Check ID")</f>
        <v>Transfer</v>
      </c>
      <c r="E275" s="12" t="s">
        <v>337</v>
      </c>
      <c r="F275" s="13">
        <v>7200</v>
      </c>
    </row>
    <row r="276" spans="1:6" x14ac:dyDescent="0.3">
      <c r="A276" s="9">
        <v>45839</v>
      </c>
      <c r="B276" s="10" t="s">
        <v>230</v>
      </c>
      <c r="C276" s="11">
        <v>1059</v>
      </c>
      <c r="D276" s="10" t="str">
        <f>_xlfn.XLOOKUP(C276, Mapping!$C:$C, Mapping!$E:$E, "Check ID")</f>
        <v>Phone Utilities</v>
      </c>
      <c r="E276" s="12" t="s">
        <v>336</v>
      </c>
      <c r="F276" s="13">
        <v>181</v>
      </c>
    </row>
    <row r="277" spans="1:6" x14ac:dyDescent="0.3">
      <c r="A277" s="9">
        <v>45839</v>
      </c>
      <c r="B277" s="10" t="s">
        <v>230</v>
      </c>
      <c r="C277" s="11">
        <v>816</v>
      </c>
      <c r="D277" s="10" t="str">
        <f>_xlfn.XLOOKUP(C277, Mapping!$C:$C, Mapping!$E:$E, "Check ID")</f>
        <v>Saving Account</v>
      </c>
      <c r="E277" s="12" t="s">
        <v>336</v>
      </c>
      <c r="F277" s="13">
        <v>32015</v>
      </c>
    </row>
    <row r="278" spans="1:6" x14ac:dyDescent="0.3">
      <c r="A278" s="9">
        <v>45840</v>
      </c>
      <c r="B278" s="10" t="s">
        <v>230</v>
      </c>
      <c r="C278" s="11">
        <v>5780</v>
      </c>
      <c r="D278" s="10" t="str">
        <f>_xlfn.XLOOKUP(C278, Mapping!$C:$C, Mapping!$E:$E, "Check ID")</f>
        <v>Undisclosed</v>
      </c>
      <c r="E278" s="12" t="s">
        <v>336</v>
      </c>
      <c r="F278" s="13">
        <v>5000</v>
      </c>
    </row>
    <row r="279" spans="1:6" x14ac:dyDescent="0.3">
      <c r="A279" s="9">
        <v>45840</v>
      </c>
      <c r="B279" s="10" t="s">
        <v>230</v>
      </c>
      <c r="C279" s="11">
        <v>3741</v>
      </c>
      <c r="D279" s="10" t="str">
        <f>_xlfn.XLOOKUP(C279, Mapping!$C:$C, Mapping!$E:$E, "Check ID")</f>
        <v>Undisclosed</v>
      </c>
      <c r="E279" s="12" t="s">
        <v>336</v>
      </c>
      <c r="F279" s="13">
        <v>5000</v>
      </c>
    </row>
    <row r="280" spans="1:6" x14ac:dyDescent="0.3">
      <c r="A280" s="9">
        <v>45840</v>
      </c>
      <c r="B280" s="10" t="s">
        <v>230</v>
      </c>
      <c r="C280" s="11">
        <v>6170</v>
      </c>
      <c r="D280" s="10" t="str">
        <f>_xlfn.XLOOKUP(C280, Mapping!$C:$C, Mapping!$E:$E, "Check ID")</f>
        <v>Transfer</v>
      </c>
      <c r="E280" s="12" t="s">
        <v>336</v>
      </c>
      <c r="F280" s="13">
        <v>5015</v>
      </c>
    </row>
    <row r="281" spans="1:6" x14ac:dyDescent="0.3">
      <c r="A281" s="9">
        <v>45851</v>
      </c>
      <c r="B281" s="10" t="s">
        <v>230</v>
      </c>
      <c r="C281" s="11">
        <v>2968</v>
      </c>
      <c r="D281" s="10" t="str">
        <f>_xlfn.XLOOKUP(C281, Mapping!$C:$C, Mapping!$E:$E, "Check ID")</f>
        <v>Undisclosed</v>
      </c>
      <c r="E281" s="12" t="s">
        <v>336</v>
      </c>
      <c r="F281" s="13">
        <v>500</v>
      </c>
    </row>
    <row r="282" spans="1:6" x14ac:dyDescent="0.3">
      <c r="A282" s="9">
        <v>45852</v>
      </c>
      <c r="B282" s="10" t="s">
        <v>230</v>
      </c>
      <c r="C282" s="11">
        <v>7031</v>
      </c>
      <c r="D282" s="10" t="str">
        <f>_xlfn.XLOOKUP(C282, Mapping!$C:$C, Mapping!$E:$E, "Check ID")</f>
        <v>Undisclosed</v>
      </c>
      <c r="E282" s="12" t="s">
        <v>336</v>
      </c>
      <c r="F282" s="13">
        <v>1300</v>
      </c>
    </row>
    <row r="283" spans="1:6" x14ac:dyDescent="0.3">
      <c r="A283" s="9">
        <v>45854</v>
      </c>
      <c r="B283" s="10" t="s">
        <v>230</v>
      </c>
      <c r="C283" s="11">
        <v>7310</v>
      </c>
      <c r="D283" s="10" t="str">
        <f>_xlfn.XLOOKUP(C283, Mapping!$C:$C, Mapping!$E:$E, "Check ID")</f>
        <v>Transfer</v>
      </c>
      <c r="E283" s="12" t="s">
        <v>336</v>
      </c>
      <c r="F283" s="13">
        <v>15015</v>
      </c>
    </row>
    <row r="284" spans="1:6" x14ac:dyDescent="0.3">
      <c r="A284" s="9">
        <v>45854</v>
      </c>
      <c r="B284" s="10" t="s">
        <v>230</v>
      </c>
      <c r="C284" s="11">
        <v>6473</v>
      </c>
      <c r="D284" s="10" t="str">
        <f>_xlfn.XLOOKUP(C284, Mapping!$C:$C, Mapping!$E:$E, "Check ID")</f>
        <v>Undisclosed</v>
      </c>
      <c r="E284" s="12" t="s">
        <v>336</v>
      </c>
      <c r="F284" s="13">
        <v>10015</v>
      </c>
    </row>
    <row r="285" spans="1:6" x14ac:dyDescent="0.3">
      <c r="A285" s="9">
        <v>45854</v>
      </c>
      <c r="B285" s="10" t="s">
        <v>230</v>
      </c>
      <c r="C285" s="11">
        <v>1773</v>
      </c>
      <c r="D285" s="10" t="str">
        <f>_xlfn.XLOOKUP(C285, Mapping!$C:$C, Mapping!$E:$E, "Check ID")</f>
        <v>Transfer</v>
      </c>
      <c r="E285" s="12" t="s">
        <v>336</v>
      </c>
      <c r="F285" s="13">
        <v>5000</v>
      </c>
    </row>
    <row r="286" spans="1:6" x14ac:dyDescent="0.3">
      <c r="A286" s="9">
        <v>45854</v>
      </c>
      <c r="B286" s="10" t="s">
        <v>230</v>
      </c>
      <c r="C286" s="11">
        <v>7261</v>
      </c>
      <c r="D286" s="10" t="str">
        <f>_xlfn.XLOOKUP(C286, Mapping!$C:$C, Mapping!$E:$E, "Check ID")</f>
        <v>Transfer</v>
      </c>
      <c r="E286" s="12" t="s">
        <v>336</v>
      </c>
      <c r="F286" s="13">
        <v>6000</v>
      </c>
    </row>
    <row r="287" spans="1:6" x14ac:dyDescent="0.3">
      <c r="A287" s="9">
        <v>45854</v>
      </c>
      <c r="B287" s="10" t="s">
        <v>230</v>
      </c>
      <c r="C287" s="11">
        <v>6170</v>
      </c>
      <c r="D287" s="10" t="str">
        <f>_xlfn.XLOOKUP(C287, Mapping!$C:$C, Mapping!$E:$E, "Check ID")</f>
        <v>Transfer</v>
      </c>
      <c r="E287" s="12" t="s">
        <v>336</v>
      </c>
      <c r="F287" s="13">
        <v>10015</v>
      </c>
    </row>
    <row r="288" spans="1:6" x14ac:dyDescent="0.3">
      <c r="A288" s="9">
        <v>45854</v>
      </c>
      <c r="B288" s="10" t="s">
        <v>230</v>
      </c>
      <c r="C288" s="11">
        <v>816</v>
      </c>
      <c r="D288" s="10" t="str">
        <f>_xlfn.XLOOKUP(C288, Mapping!$C:$C, Mapping!$E:$E, "Check ID")</f>
        <v>Saving Account</v>
      </c>
      <c r="E288" s="12" t="s">
        <v>336</v>
      </c>
      <c r="F288" s="13">
        <v>25015</v>
      </c>
    </row>
    <row r="289" spans="1:6" x14ac:dyDescent="0.3">
      <c r="A289" s="9">
        <v>45854</v>
      </c>
      <c r="B289" s="10" t="s">
        <v>230</v>
      </c>
      <c r="C289" s="11">
        <v>6480</v>
      </c>
      <c r="D289" s="10" t="str">
        <f>_xlfn.XLOOKUP(C289, Mapping!$C:$C, Mapping!$E:$E, "Check ID")</f>
        <v>Undisclosed</v>
      </c>
      <c r="E289" s="12" t="s">
        <v>336</v>
      </c>
      <c r="F289" s="13">
        <v>5000</v>
      </c>
    </row>
    <row r="290" spans="1:6" x14ac:dyDescent="0.3">
      <c r="A290" s="9">
        <v>45855</v>
      </c>
      <c r="B290" s="10" t="s">
        <v>230</v>
      </c>
      <c r="C290" s="11">
        <v>1059</v>
      </c>
      <c r="D290" s="10" t="str">
        <f>_xlfn.XLOOKUP(C290, Mapping!$C:$C, Mapping!$E:$E, "Check ID")</f>
        <v>Phone Utilities</v>
      </c>
      <c r="E290" s="12" t="s">
        <v>336</v>
      </c>
      <c r="F290" s="13">
        <v>181</v>
      </c>
    </row>
    <row r="291" spans="1:6" x14ac:dyDescent="0.3">
      <c r="A291" s="9">
        <v>45858</v>
      </c>
      <c r="B291" s="10" t="s">
        <v>230</v>
      </c>
      <c r="C291" s="11">
        <v>6575</v>
      </c>
      <c r="D291" s="10" t="str">
        <f>_xlfn.XLOOKUP(C291, Mapping!$C:$C, Mapping!$E:$E, "Check ID")</f>
        <v>Undisclosed</v>
      </c>
      <c r="E291" s="12" t="s">
        <v>336</v>
      </c>
      <c r="F291" s="13">
        <v>3525</v>
      </c>
    </row>
    <row r="292" spans="1:6" x14ac:dyDescent="0.3">
      <c r="A292" s="9">
        <v>45860</v>
      </c>
      <c r="B292" s="10" t="s">
        <v>230</v>
      </c>
      <c r="C292" s="11" t="s">
        <v>123</v>
      </c>
      <c r="D292" s="10" t="str">
        <f>_xlfn.XLOOKUP(C292, Mapping!$C:$C, Mapping!$E:$E, "Check ID")</f>
        <v>Debt</v>
      </c>
      <c r="E292" s="12" t="s">
        <v>336</v>
      </c>
      <c r="F292" s="13">
        <v>2730.83</v>
      </c>
    </row>
    <row r="293" spans="1:6" x14ac:dyDescent="0.3">
      <c r="A293" s="9">
        <v>45863</v>
      </c>
      <c r="B293" s="10" t="s">
        <v>230</v>
      </c>
      <c r="C293" s="11">
        <v>1082</v>
      </c>
      <c r="D293" s="10" t="str">
        <f>_xlfn.XLOOKUP(C293, Mapping!$C:$C, Mapping!$E:$E, "Check ID")</f>
        <v>Transfer</v>
      </c>
      <c r="E293" s="12" t="s">
        <v>336</v>
      </c>
      <c r="F293" s="13">
        <v>5000</v>
      </c>
    </row>
    <row r="294" spans="1:6" x14ac:dyDescent="0.3">
      <c r="A294" s="9">
        <v>45868</v>
      </c>
      <c r="B294" s="10" t="s">
        <v>230</v>
      </c>
      <c r="C294" s="11">
        <v>6170</v>
      </c>
      <c r="D294" s="10" t="str">
        <f>_xlfn.XLOOKUP(C294, Mapping!$C:$C, Mapping!$E:$E, "Check ID")</f>
        <v>Transfer</v>
      </c>
      <c r="E294" s="12" t="s">
        <v>336</v>
      </c>
      <c r="F294" s="13">
        <v>10015</v>
      </c>
    </row>
    <row r="295" spans="1:6" x14ac:dyDescent="0.3">
      <c r="A295" s="9">
        <v>45869</v>
      </c>
      <c r="B295" s="10" t="s">
        <v>230</v>
      </c>
      <c r="C295" s="11">
        <v>4210</v>
      </c>
      <c r="D295" s="10" t="str">
        <f>_xlfn.XLOOKUP(C295, Mapping!$C:$C, Mapping!$E:$E, "Check ID")</f>
        <v>Undisclosed</v>
      </c>
      <c r="E295" s="12" t="s">
        <v>336</v>
      </c>
      <c r="F295" s="13">
        <v>8015</v>
      </c>
    </row>
    <row r="296" spans="1:6" x14ac:dyDescent="0.3">
      <c r="A296" s="9">
        <v>45869</v>
      </c>
      <c r="B296" s="10" t="s">
        <v>230</v>
      </c>
      <c r="C296" s="11" t="s">
        <v>6</v>
      </c>
      <c r="D296" s="10" t="str">
        <f>_xlfn.XLOOKUP(C296, Mapping!$C:$C, Mapping!$E:$E, "Check ID")</f>
        <v>Government</v>
      </c>
      <c r="E296" s="12" t="s">
        <v>336</v>
      </c>
      <c r="F296" s="13">
        <v>6505</v>
      </c>
    </row>
    <row r="297" spans="1:6" x14ac:dyDescent="0.3">
      <c r="A297" s="9">
        <v>45869</v>
      </c>
      <c r="B297" s="10" t="s">
        <v>230</v>
      </c>
      <c r="C297" s="11">
        <v>6473</v>
      </c>
      <c r="D297" s="10" t="str">
        <f>_xlfn.XLOOKUP(C297, Mapping!$C:$C, Mapping!$E:$E, "Check ID")</f>
        <v>Undisclosed</v>
      </c>
      <c r="E297" s="12" t="s">
        <v>336</v>
      </c>
      <c r="F297" s="13">
        <v>5015</v>
      </c>
    </row>
    <row r="298" spans="1:6" x14ac:dyDescent="0.3">
      <c r="A298" s="9">
        <v>45839</v>
      </c>
      <c r="B298" s="10" t="s">
        <v>230</v>
      </c>
      <c r="C298" s="11">
        <v>7904</v>
      </c>
      <c r="D298" s="10" t="str">
        <f>_xlfn.XLOOKUP(C298, Mapping!$C:$C, Mapping!$E:$E, "Check ID")</f>
        <v>Transfer</v>
      </c>
      <c r="E298" s="12" t="s">
        <v>337</v>
      </c>
      <c r="F298" s="13">
        <v>3000</v>
      </c>
    </row>
    <row r="299" spans="1:6" x14ac:dyDescent="0.3">
      <c r="A299" s="9">
        <v>45841</v>
      </c>
      <c r="B299" s="10" t="s">
        <v>230</v>
      </c>
      <c r="C299" s="11">
        <v>5680</v>
      </c>
      <c r="D299" s="10" t="str">
        <f>_xlfn.XLOOKUP(C299, Mapping!$C:$C, Mapping!$E:$E, "Check ID")</f>
        <v>Transfer</v>
      </c>
      <c r="E299" s="12" t="s">
        <v>337</v>
      </c>
      <c r="F299" s="13">
        <v>800</v>
      </c>
    </row>
    <row r="300" spans="1:6" x14ac:dyDescent="0.3">
      <c r="A300" s="9">
        <v>45842</v>
      </c>
      <c r="B300" s="10" t="s">
        <v>230</v>
      </c>
      <c r="C300" s="11">
        <v>6406</v>
      </c>
      <c r="D300" s="10" t="str">
        <f>_xlfn.XLOOKUP(C300, Mapping!$C:$C, Mapping!$E:$E, "Check ID")</f>
        <v>Transfer</v>
      </c>
      <c r="E300" s="12" t="s">
        <v>337</v>
      </c>
      <c r="F300" s="13">
        <v>1800</v>
      </c>
    </row>
    <row r="301" spans="1:6" x14ac:dyDescent="0.3">
      <c r="A301" s="9">
        <v>45843</v>
      </c>
      <c r="B301" s="10" t="s">
        <v>230</v>
      </c>
      <c r="C301" s="11">
        <v>5075</v>
      </c>
      <c r="D301" s="10" t="str">
        <f>_xlfn.XLOOKUP(C301, Mapping!$C:$C, Mapping!$E:$E, "Check ID")</f>
        <v>Transfer</v>
      </c>
      <c r="E301" s="12" t="s">
        <v>337</v>
      </c>
      <c r="F301" s="13">
        <v>1000</v>
      </c>
    </row>
    <row r="302" spans="1:6" x14ac:dyDescent="0.3">
      <c r="A302" s="9">
        <v>45844</v>
      </c>
      <c r="B302" s="10" t="s">
        <v>230</v>
      </c>
      <c r="C302" s="11">
        <v>7436</v>
      </c>
      <c r="D302" s="10" t="str">
        <f>_xlfn.XLOOKUP(C302, Mapping!$C:$C, Mapping!$E:$E, "Check ID")</f>
        <v>Transfer</v>
      </c>
      <c r="E302" s="12" t="s">
        <v>337</v>
      </c>
      <c r="F302" s="13">
        <v>2081</v>
      </c>
    </row>
    <row r="303" spans="1:6" x14ac:dyDescent="0.3">
      <c r="A303" s="9">
        <v>45846</v>
      </c>
      <c r="B303" s="10" t="s">
        <v>230</v>
      </c>
      <c r="C303" s="11">
        <v>834</v>
      </c>
      <c r="D303" s="10" t="str">
        <f>_xlfn.XLOOKUP(C303, Mapping!$C:$C, Mapping!$E:$E, "Check ID")</f>
        <v>Transfer</v>
      </c>
      <c r="E303" s="12" t="s">
        <v>337</v>
      </c>
      <c r="F303" s="13">
        <v>2500</v>
      </c>
    </row>
    <row r="304" spans="1:6" x14ac:dyDescent="0.3">
      <c r="A304" s="9">
        <v>45849</v>
      </c>
      <c r="B304" s="10" t="s">
        <v>230</v>
      </c>
      <c r="C304" s="11">
        <v>7436</v>
      </c>
      <c r="D304" s="10" t="str">
        <f>_xlfn.XLOOKUP(C304, Mapping!$C:$C, Mapping!$E:$E, "Check ID")</f>
        <v>Transfer</v>
      </c>
      <c r="E304" s="12" t="s">
        <v>337</v>
      </c>
      <c r="F304" s="13">
        <v>900</v>
      </c>
    </row>
    <row r="305" spans="1:6" x14ac:dyDescent="0.3">
      <c r="A305" s="9">
        <v>45852</v>
      </c>
      <c r="B305" s="10" t="s">
        <v>230</v>
      </c>
      <c r="C305" s="11">
        <v>5763</v>
      </c>
      <c r="D305" s="10" t="str">
        <f>_xlfn.XLOOKUP(C305, Mapping!$C:$C, Mapping!$E:$E, "Check ID")</f>
        <v>Transfer</v>
      </c>
      <c r="E305" s="12" t="s">
        <v>337</v>
      </c>
      <c r="F305" s="13">
        <v>3600</v>
      </c>
    </row>
    <row r="306" spans="1:6" x14ac:dyDescent="0.3">
      <c r="A306" s="9">
        <v>45853</v>
      </c>
      <c r="B306" s="10" t="s">
        <v>230</v>
      </c>
      <c r="C306" s="11">
        <v>9032</v>
      </c>
      <c r="D306" s="10" t="str">
        <f>_xlfn.XLOOKUP(C306, Mapping!$C:$C, Mapping!$E:$E, "Check ID")</f>
        <v>Transfer</v>
      </c>
      <c r="E306" s="12" t="s">
        <v>337</v>
      </c>
      <c r="F306" s="13">
        <v>3000</v>
      </c>
    </row>
    <row r="307" spans="1:6" x14ac:dyDescent="0.3">
      <c r="A307" s="9">
        <v>45853</v>
      </c>
      <c r="B307" s="10" t="s">
        <v>230</v>
      </c>
      <c r="C307" s="11">
        <v>7585</v>
      </c>
      <c r="D307" s="10" t="str">
        <f>_xlfn.XLOOKUP(C307, Mapping!$C:$C, Mapping!$E:$E, "Check ID")</f>
        <v>Transfer</v>
      </c>
      <c r="E307" s="12" t="s">
        <v>337</v>
      </c>
      <c r="F307" s="13">
        <v>3700</v>
      </c>
    </row>
    <row r="308" spans="1:6" x14ac:dyDescent="0.3">
      <c r="A308" s="9">
        <v>45853</v>
      </c>
      <c r="B308" s="10" t="s">
        <v>230</v>
      </c>
      <c r="C308" s="11">
        <v>1908</v>
      </c>
      <c r="D308" s="10" t="str">
        <f>_xlfn.XLOOKUP(C308, Mapping!$C:$C, Mapping!$E:$E, "Check ID")</f>
        <v>Transfer</v>
      </c>
      <c r="E308" s="12" t="s">
        <v>337</v>
      </c>
      <c r="F308" s="13">
        <v>1000</v>
      </c>
    </row>
    <row r="309" spans="1:6" x14ac:dyDescent="0.3">
      <c r="A309" s="9">
        <v>45853</v>
      </c>
      <c r="B309" s="10" t="s">
        <v>230</v>
      </c>
      <c r="C309" s="11">
        <v>7904</v>
      </c>
      <c r="D309" s="10" t="str">
        <f>_xlfn.XLOOKUP(C309, Mapping!$C:$C, Mapping!$E:$E, "Check ID")</f>
        <v>Transfer</v>
      </c>
      <c r="E309" s="12" t="s">
        <v>337</v>
      </c>
      <c r="F309" s="13">
        <v>2000</v>
      </c>
    </row>
    <row r="310" spans="1:6" x14ac:dyDescent="0.3">
      <c r="A310" s="9">
        <v>45853</v>
      </c>
      <c r="B310" s="10" t="s">
        <v>230</v>
      </c>
      <c r="C310" s="11">
        <v>384</v>
      </c>
      <c r="D310" s="10" t="str">
        <f>_xlfn.XLOOKUP(C310, Mapping!$C:$C, Mapping!$E:$E, "Check ID")</f>
        <v>Transfer</v>
      </c>
      <c r="E310" s="12" t="s">
        <v>337</v>
      </c>
      <c r="F310" s="13">
        <v>3000</v>
      </c>
    </row>
    <row r="311" spans="1:6" x14ac:dyDescent="0.3">
      <c r="A311" s="9">
        <v>45854</v>
      </c>
      <c r="B311" s="10" t="s">
        <v>230</v>
      </c>
      <c r="C311" s="11" t="s">
        <v>123</v>
      </c>
      <c r="D311" s="10" t="str">
        <f>_xlfn.XLOOKUP(C311, Mapping!$C:$C, Mapping!$E:$E, "Check ID")</f>
        <v>Debt</v>
      </c>
      <c r="E311" s="12" t="s">
        <v>337</v>
      </c>
      <c r="F311" s="13">
        <v>51510</v>
      </c>
    </row>
    <row r="312" spans="1:6" x14ac:dyDescent="0.3">
      <c r="A312" s="9">
        <v>45854</v>
      </c>
      <c r="B312" s="10" t="s">
        <v>230</v>
      </c>
      <c r="C312" s="11">
        <v>0</v>
      </c>
      <c r="D312" s="10" t="str">
        <f>_xlfn.XLOOKUP(C312, Mapping!$C:$C, Mapping!$E:$E, "Check ID")</f>
        <v>Transfer</v>
      </c>
      <c r="E312" s="12" t="s">
        <v>337</v>
      </c>
      <c r="F312" s="13">
        <v>1000</v>
      </c>
    </row>
    <row r="313" spans="1:6" x14ac:dyDescent="0.3">
      <c r="A313" s="9">
        <v>45854</v>
      </c>
      <c r="B313" s="10" t="s">
        <v>230</v>
      </c>
      <c r="C313" s="11">
        <v>5791</v>
      </c>
      <c r="D313" s="10" t="str">
        <f>_xlfn.XLOOKUP(C313, Mapping!$C:$C, Mapping!$E:$E, "Check ID")</f>
        <v>Transfer</v>
      </c>
      <c r="E313" s="12" t="s">
        <v>337</v>
      </c>
      <c r="F313" s="13">
        <v>400</v>
      </c>
    </row>
    <row r="314" spans="1:6" x14ac:dyDescent="0.3">
      <c r="A314" s="9">
        <v>45734</v>
      </c>
      <c r="B314" s="10" t="s">
        <v>230</v>
      </c>
      <c r="C314" s="11">
        <v>5075</v>
      </c>
      <c r="D314" s="10" t="str">
        <f>_xlfn.XLOOKUP(C314, Mapping!$C:$C, Mapping!$E:$E, "Check ID")</f>
        <v>Transfer</v>
      </c>
      <c r="E314" s="12" t="s">
        <v>337</v>
      </c>
      <c r="F314" s="13">
        <v>3000</v>
      </c>
    </row>
    <row r="315" spans="1:6" x14ac:dyDescent="0.3">
      <c r="A315" s="9">
        <v>45734</v>
      </c>
      <c r="B315" s="10" t="s">
        <v>230</v>
      </c>
      <c r="C315" s="11">
        <v>834</v>
      </c>
      <c r="D315" s="10" t="str">
        <f>_xlfn.XLOOKUP(C315, Mapping!$C:$C, Mapping!$E:$E, "Check ID")</f>
        <v>Transfer</v>
      </c>
      <c r="E315" s="12" t="s">
        <v>337</v>
      </c>
      <c r="F315" s="13">
        <v>500</v>
      </c>
    </row>
    <row r="316" spans="1:6" x14ac:dyDescent="0.3">
      <c r="A316" s="9">
        <v>45860</v>
      </c>
      <c r="B316" s="10" t="s">
        <v>230</v>
      </c>
      <c r="C316" s="11">
        <v>6746</v>
      </c>
      <c r="D316" s="10" t="str">
        <f>_xlfn.XLOOKUP(C316, Mapping!$C:$C, Mapping!$E:$E, "Check ID")</f>
        <v>Transfer</v>
      </c>
      <c r="E316" s="12" t="s">
        <v>337</v>
      </c>
      <c r="F316" s="13">
        <v>200</v>
      </c>
    </row>
    <row r="317" spans="1:6" x14ac:dyDescent="0.3">
      <c r="A317" s="9">
        <v>45862</v>
      </c>
      <c r="B317" s="10" t="s">
        <v>230</v>
      </c>
      <c r="C317" s="11">
        <v>1082</v>
      </c>
      <c r="D317" s="10" t="str">
        <f>_xlfn.XLOOKUP(C317, Mapping!$C:$C, Mapping!$E:$E, "Check ID")</f>
        <v>Transfer</v>
      </c>
      <c r="E317" s="12" t="s">
        <v>337</v>
      </c>
      <c r="F317" s="13">
        <v>1500</v>
      </c>
    </row>
    <row r="318" spans="1:6" x14ac:dyDescent="0.3">
      <c r="A318" s="9">
        <v>45866</v>
      </c>
      <c r="B318" s="10" t="s">
        <v>230</v>
      </c>
      <c r="C318" s="11">
        <v>5763</v>
      </c>
      <c r="D318" s="10" t="str">
        <f>_xlfn.XLOOKUP(C318, Mapping!$C:$C, Mapping!$E:$E, "Check ID")</f>
        <v>Transfer</v>
      </c>
      <c r="E318" s="12" t="s">
        <v>337</v>
      </c>
      <c r="F318" s="13">
        <v>3600</v>
      </c>
    </row>
    <row r="319" spans="1:6" x14ac:dyDescent="0.3">
      <c r="A319" s="9">
        <v>45868</v>
      </c>
      <c r="B319" s="10" t="s">
        <v>230</v>
      </c>
      <c r="C319" s="11">
        <v>6170</v>
      </c>
      <c r="D319" s="10" t="str">
        <f>_xlfn.XLOOKUP(C319, Mapping!$C:$C, Mapping!$E:$E, "Check ID")</f>
        <v>Transfer</v>
      </c>
      <c r="E319" s="12" t="s">
        <v>337</v>
      </c>
      <c r="F319" s="13">
        <v>2000</v>
      </c>
    </row>
    <row r="320" spans="1:6" x14ac:dyDescent="0.3">
      <c r="A320" s="9">
        <v>45868</v>
      </c>
      <c r="B320" s="10" t="s">
        <v>230</v>
      </c>
      <c r="C320" s="11">
        <v>9032</v>
      </c>
      <c r="D320" s="10" t="str">
        <f>_xlfn.XLOOKUP(C320, Mapping!$C:$C, Mapping!$E:$E, "Check ID")</f>
        <v>Transfer</v>
      </c>
      <c r="E320" s="12" t="s">
        <v>337</v>
      </c>
      <c r="F320" s="13">
        <v>3000</v>
      </c>
    </row>
    <row r="321" spans="1:6" x14ac:dyDescent="0.3">
      <c r="A321" s="9">
        <v>45868</v>
      </c>
      <c r="B321" s="10" t="s">
        <v>230</v>
      </c>
      <c r="C321" s="11">
        <v>7904</v>
      </c>
      <c r="D321" s="10" t="str">
        <f>_xlfn.XLOOKUP(C321, Mapping!$C:$C, Mapping!$E:$E, "Check ID")</f>
        <v>Transfer</v>
      </c>
      <c r="E321" s="12" t="s">
        <v>337</v>
      </c>
      <c r="F321" s="13">
        <v>3000</v>
      </c>
    </row>
    <row r="322" spans="1:6" x14ac:dyDescent="0.3">
      <c r="A322" s="9">
        <v>45868</v>
      </c>
      <c r="B322" s="10" t="s">
        <v>230</v>
      </c>
      <c r="C322" s="11">
        <v>1908</v>
      </c>
      <c r="D322" s="10" t="str">
        <f>_xlfn.XLOOKUP(C322, Mapping!$C:$C, Mapping!$E:$E, "Check ID")</f>
        <v>Transfer</v>
      </c>
      <c r="E322" s="12" t="s">
        <v>337</v>
      </c>
      <c r="F322" s="13">
        <v>3000</v>
      </c>
    </row>
    <row r="323" spans="1:6" x14ac:dyDescent="0.3">
      <c r="A323" s="9">
        <v>45868</v>
      </c>
      <c r="B323" s="10" t="s">
        <v>230</v>
      </c>
      <c r="C323" s="11">
        <v>7586</v>
      </c>
      <c r="D323" s="10" t="str">
        <f>_xlfn.XLOOKUP(C323, Mapping!$C:$C, Mapping!$E:$E, "Check ID")</f>
        <v>Transfer</v>
      </c>
      <c r="E323" s="12" t="s">
        <v>337</v>
      </c>
      <c r="F323" s="13">
        <v>3000</v>
      </c>
    </row>
    <row r="324" spans="1:6" x14ac:dyDescent="0.3">
      <c r="A324" s="9">
        <v>45868</v>
      </c>
      <c r="B324" s="10" t="s">
        <v>230</v>
      </c>
      <c r="C324" s="11">
        <v>0</v>
      </c>
      <c r="D324" s="10" t="str">
        <f>_xlfn.XLOOKUP(C324, Mapping!$C:$C, Mapping!$E:$E, "Check ID")</f>
        <v>Transfer</v>
      </c>
      <c r="E324" s="12" t="s">
        <v>337</v>
      </c>
      <c r="F324" s="13">
        <v>1000</v>
      </c>
    </row>
    <row r="325" spans="1:6" x14ac:dyDescent="0.3">
      <c r="A325" s="9">
        <v>45869</v>
      </c>
      <c r="B325" s="10" t="s">
        <v>230</v>
      </c>
      <c r="C325" s="11">
        <v>6194</v>
      </c>
      <c r="D325" s="10" t="str">
        <f>_xlfn.XLOOKUP(C325, Mapping!$C:$C, Mapping!$E:$E, "Check ID")</f>
        <v>Transfer</v>
      </c>
      <c r="E325" s="12" t="s">
        <v>337</v>
      </c>
      <c r="F325" s="13">
        <v>1000</v>
      </c>
    </row>
    <row r="326" spans="1:6" x14ac:dyDescent="0.3">
      <c r="A326" s="9">
        <v>45869</v>
      </c>
      <c r="B326" s="10" t="s">
        <v>230</v>
      </c>
      <c r="C326" s="11">
        <v>6194</v>
      </c>
      <c r="D326" s="10" t="str">
        <f>_xlfn.XLOOKUP(C326, Mapping!$C:$C, Mapping!$E:$E, "Check ID")</f>
        <v>Transfer</v>
      </c>
      <c r="E326" s="12" t="s">
        <v>337</v>
      </c>
      <c r="F326" s="13">
        <v>3000</v>
      </c>
    </row>
    <row r="327" spans="1:6" x14ac:dyDescent="0.3">
      <c r="A327" s="9">
        <v>45869</v>
      </c>
      <c r="B327" s="10" t="s">
        <v>230</v>
      </c>
      <c r="C327" s="11">
        <v>1004</v>
      </c>
      <c r="D327" s="10" t="str">
        <f>_xlfn.XLOOKUP(C327, Mapping!$C:$C, Mapping!$E:$E, "Check ID")</f>
        <v>Transfer</v>
      </c>
      <c r="E327" s="12" t="s">
        <v>337</v>
      </c>
      <c r="F327" s="13">
        <v>2000</v>
      </c>
    </row>
    <row r="328" spans="1:6" x14ac:dyDescent="0.3">
      <c r="A328" s="9">
        <v>45869</v>
      </c>
      <c r="B328" s="10" t="s">
        <v>230</v>
      </c>
      <c r="C328" s="11">
        <v>4530</v>
      </c>
      <c r="D328" s="10" t="str">
        <f>_xlfn.XLOOKUP(C328, Mapping!$C:$C, Mapping!$E:$E, "Check ID")</f>
        <v>Saving Account</v>
      </c>
      <c r="E328" s="12" t="s">
        <v>337</v>
      </c>
      <c r="F328" s="13">
        <v>15500</v>
      </c>
    </row>
    <row r="329" spans="1:6" x14ac:dyDescent="0.3">
      <c r="A329" s="9">
        <v>45870</v>
      </c>
      <c r="B329" s="10" t="s">
        <v>243</v>
      </c>
      <c r="C329" s="11">
        <v>816</v>
      </c>
      <c r="D329" s="10" t="str">
        <f>_xlfn.XLOOKUP(C329, Mapping!$C:$C, Mapping!$E:$E, "Check ID")</f>
        <v>Saving Account</v>
      </c>
      <c r="E329" s="12" t="s">
        <v>336</v>
      </c>
      <c r="F329" s="13">
        <v>26015</v>
      </c>
    </row>
    <row r="330" spans="1:6" x14ac:dyDescent="0.3">
      <c r="A330" s="9">
        <v>45871</v>
      </c>
      <c r="B330" s="10" t="s">
        <v>243</v>
      </c>
      <c r="C330" s="11" t="s">
        <v>3</v>
      </c>
      <c r="D330" s="10" t="str">
        <f>_xlfn.XLOOKUP(C330, Mapping!$C:$C, Mapping!$E:$E, "Check ID")</f>
        <v>Investment</v>
      </c>
      <c r="E330" s="12" t="s">
        <v>336</v>
      </c>
      <c r="F330" s="13">
        <v>1500</v>
      </c>
    </row>
    <row r="331" spans="1:6" x14ac:dyDescent="0.3">
      <c r="A331" s="9">
        <v>45872</v>
      </c>
      <c r="B331" s="10" t="s">
        <v>243</v>
      </c>
      <c r="C331" s="11">
        <v>3544</v>
      </c>
      <c r="D331" s="10" t="str">
        <f>_xlfn.XLOOKUP(C331, Mapping!$C:$C, Mapping!$E:$E, "Check ID")</f>
        <v>Undisclosed</v>
      </c>
      <c r="E331" s="12" t="s">
        <v>336</v>
      </c>
      <c r="F331" s="13">
        <v>1000</v>
      </c>
    </row>
    <row r="332" spans="1:6" x14ac:dyDescent="0.3">
      <c r="A332" s="9">
        <v>45876</v>
      </c>
      <c r="B332" s="10" t="s">
        <v>243</v>
      </c>
      <c r="C332" s="11">
        <v>1055</v>
      </c>
      <c r="D332" s="10" t="str">
        <f>_xlfn.XLOOKUP(C332, Mapping!$C:$C, Mapping!$E:$E, "Check ID")</f>
        <v>Undisclosed</v>
      </c>
      <c r="E332" s="12" t="s">
        <v>336</v>
      </c>
      <c r="F332" s="13">
        <v>1000</v>
      </c>
    </row>
    <row r="333" spans="1:6" x14ac:dyDescent="0.3">
      <c r="A333" s="9">
        <v>45880</v>
      </c>
      <c r="B333" s="10" t="s">
        <v>243</v>
      </c>
      <c r="C333" s="11">
        <v>4107</v>
      </c>
      <c r="D333" s="10" t="str">
        <f>_xlfn.XLOOKUP(C333, Mapping!$C:$C, Mapping!$E:$E, "Check ID")</f>
        <v>Undisclosed</v>
      </c>
      <c r="E333" s="12" t="s">
        <v>336</v>
      </c>
      <c r="F333" s="13">
        <v>2000</v>
      </c>
    </row>
    <row r="334" spans="1:6" x14ac:dyDescent="0.3">
      <c r="A334" s="9">
        <v>45882</v>
      </c>
      <c r="B334" s="10" t="s">
        <v>243</v>
      </c>
      <c r="C334" s="11">
        <v>4969</v>
      </c>
      <c r="D334" s="10" t="str">
        <f>_xlfn.XLOOKUP(C334, Mapping!$C:$C, Mapping!$E:$E, "Check ID")</f>
        <v>Phone Utilities</v>
      </c>
      <c r="E334" s="12" t="s">
        <v>336</v>
      </c>
      <c r="F334" s="13">
        <v>21</v>
      </c>
    </row>
    <row r="335" spans="1:6" x14ac:dyDescent="0.3">
      <c r="A335" s="9">
        <v>45882</v>
      </c>
      <c r="B335" s="10" t="s">
        <v>243</v>
      </c>
      <c r="C335" s="11" t="s">
        <v>123</v>
      </c>
      <c r="D335" s="10" t="str">
        <f>_xlfn.XLOOKUP(C335, Mapping!$C:$C, Mapping!$E:$E, "Check ID")</f>
        <v>Debt</v>
      </c>
      <c r="E335" s="12" t="s">
        <v>336</v>
      </c>
      <c r="F335" s="13">
        <v>5259.37</v>
      </c>
    </row>
    <row r="336" spans="1:6" x14ac:dyDescent="0.3">
      <c r="A336" s="9">
        <v>45884</v>
      </c>
      <c r="B336" s="10" t="s">
        <v>243</v>
      </c>
      <c r="C336" s="11">
        <v>4690</v>
      </c>
      <c r="D336" s="10" t="str">
        <f>_xlfn.XLOOKUP(C336, Mapping!$C:$C, Mapping!$E:$E, "Check ID")</f>
        <v>Terra Transfer</v>
      </c>
      <c r="E336" s="12" t="s">
        <v>336</v>
      </c>
      <c r="F336" s="13">
        <v>3000</v>
      </c>
    </row>
    <row r="337" spans="1:6" x14ac:dyDescent="0.3">
      <c r="A337" s="9">
        <v>45884</v>
      </c>
      <c r="B337" s="10" t="s">
        <v>243</v>
      </c>
      <c r="C337" s="11">
        <v>6170</v>
      </c>
      <c r="D337" s="10" t="str">
        <f>_xlfn.XLOOKUP(C337, Mapping!$C:$C, Mapping!$E:$E, "Check ID")</f>
        <v>Transfer</v>
      </c>
      <c r="E337" s="12" t="s">
        <v>336</v>
      </c>
      <c r="F337" s="13">
        <v>10015</v>
      </c>
    </row>
    <row r="338" spans="1:6" x14ac:dyDescent="0.3">
      <c r="A338" s="9">
        <v>45793</v>
      </c>
      <c r="B338" s="10" t="s">
        <v>243</v>
      </c>
      <c r="C338" s="11">
        <v>1059</v>
      </c>
      <c r="D338" s="10" t="str">
        <f>_xlfn.XLOOKUP(C338, Mapping!$C:$C, Mapping!$E:$E, "Check ID")</f>
        <v>Phone Utilities</v>
      </c>
      <c r="E338" s="12" t="s">
        <v>336</v>
      </c>
      <c r="F338" s="13">
        <v>181</v>
      </c>
    </row>
    <row r="339" spans="1:6" x14ac:dyDescent="0.3">
      <c r="A339" s="9">
        <v>45886</v>
      </c>
      <c r="B339" s="10" t="s">
        <v>243</v>
      </c>
      <c r="C339" s="11" t="s">
        <v>123</v>
      </c>
      <c r="D339" s="10" t="str">
        <f>_xlfn.XLOOKUP(C339, Mapping!$C:$C, Mapping!$E:$E, "Check ID")</f>
        <v>Debt</v>
      </c>
      <c r="E339" s="12" t="s">
        <v>336</v>
      </c>
      <c r="F339" s="13">
        <v>2730.87</v>
      </c>
    </row>
    <row r="340" spans="1:6" x14ac:dyDescent="0.3">
      <c r="A340" s="9">
        <v>45886</v>
      </c>
      <c r="B340" s="10" t="s">
        <v>243</v>
      </c>
      <c r="C340" s="11">
        <v>1456</v>
      </c>
      <c r="D340" s="10" t="str">
        <f>_xlfn.XLOOKUP(C340, Mapping!$C:$C, Mapping!$E:$E, "Check ID")</f>
        <v>Undisclosed</v>
      </c>
      <c r="E340" s="12" t="s">
        <v>336</v>
      </c>
      <c r="F340" s="13">
        <v>2000</v>
      </c>
    </row>
    <row r="341" spans="1:6" x14ac:dyDescent="0.3">
      <c r="A341" s="9">
        <v>45886</v>
      </c>
      <c r="B341" s="10" t="s">
        <v>243</v>
      </c>
      <c r="C341" s="11">
        <v>816</v>
      </c>
      <c r="D341" s="10" t="str">
        <f>_xlfn.XLOOKUP(C341, Mapping!$C:$C, Mapping!$E:$E, "Check ID")</f>
        <v>Saving Account</v>
      </c>
      <c r="E341" s="12" t="s">
        <v>336</v>
      </c>
      <c r="F341" s="13">
        <v>17015</v>
      </c>
    </row>
    <row r="342" spans="1:6" x14ac:dyDescent="0.3">
      <c r="A342" s="9">
        <v>45893</v>
      </c>
      <c r="B342" s="10" t="s">
        <v>243</v>
      </c>
      <c r="C342" s="11">
        <v>1082</v>
      </c>
      <c r="D342" s="10" t="str">
        <f>_xlfn.XLOOKUP(C342, Mapping!$C:$C, Mapping!$E:$E, "Check ID")</f>
        <v>Transfer</v>
      </c>
      <c r="E342" s="12" t="s">
        <v>336</v>
      </c>
      <c r="F342" s="13">
        <v>5000</v>
      </c>
    </row>
    <row r="343" spans="1:6" x14ac:dyDescent="0.3">
      <c r="A343" s="9">
        <v>45900</v>
      </c>
      <c r="B343" s="10" t="s">
        <v>243</v>
      </c>
      <c r="C343" s="11">
        <v>1059</v>
      </c>
      <c r="D343" s="10" t="str">
        <f>_xlfn.XLOOKUP(C343, Mapping!$C:$C, Mapping!$E:$E, "Check ID")</f>
        <v>Phone Utilities</v>
      </c>
      <c r="E343" s="12" t="s">
        <v>336</v>
      </c>
      <c r="F343" s="13">
        <v>181</v>
      </c>
    </row>
    <row r="344" spans="1:6" x14ac:dyDescent="0.3">
      <c r="A344" s="9">
        <v>45870</v>
      </c>
      <c r="B344" s="10" t="s">
        <v>243</v>
      </c>
      <c r="C344" s="11">
        <v>6406</v>
      </c>
      <c r="D344" s="10" t="str">
        <f>_xlfn.XLOOKUP(C344, Mapping!$C:$C, Mapping!$E:$E, "Check ID")</f>
        <v>Transfer</v>
      </c>
      <c r="E344" s="12" t="s">
        <v>337</v>
      </c>
      <c r="F344" s="13">
        <v>3600</v>
      </c>
    </row>
    <row r="345" spans="1:6" x14ac:dyDescent="0.3">
      <c r="A345" s="9">
        <v>45871</v>
      </c>
      <c r="B345" s="10" t="s">
        <v>243</v>
      </c>
      <c r="C345" s="11" t="s">
        <v>5</v>
      </c>
      <c r="D345" s="10" t="str">
        <f>_xlfn.XLOOKUP(C345, Mapping!$C:$C, Mapping!$E:$E, "Check ID")</f>
        <v>PJLInc</v>
      </c>
      <c r="E345" s="12" t="s">
        <v>337</v>
      </c>
      <c r="F345" s="13">
        <v>3250</v>
      </c>
    </row>
    <row r="346" spans="1:6" x14ac:dyDescent="0.3">
      <c r="A346" s="9">
        <v>45871</v>
      </c>
      <c r="B346" s="10" t="s">
        <v>243</v>
      </c>
      <c r="C346" s="11">
        <v>5672</v>
      </c>
      <c r="D346" s="10" t="str">
        <f>_xlfn.XLOOKUP(C346, Mapping!$C:$C, Mapping!$E:$E, "Check ID")</f>
        <v>Transfer</v>
      </c>
      <c r="E346" s="12" t="s">
        <v>337</v>
      </c>
      <c r="F346" s="13">
        <v>862</v>
      </c>
    </row>
    <row r="347" spans="1:6" x14ac:dyDescent="0.3">
      <c r="A347" s="9">
        <v>45874</v>
      </c>
      <c r="B347" s="10" t="s">
        <v>243</v>
      </c>
      <c r="C347" s="11">
        <v>5075</v>
      </c>
      <c r="D347" s="10" t="str">
        <f>_xlfn.XLOOKUP(C347, Mapping!$C:$C, Mapping!$E:$E, "Check ID")</f>
        <v>Transfer</v>
      </c>
      <c r="E347" s="12" t="s">
        <v>337</v>
      </c>
      <c r="F347" s="13">
        <v>2500</v>
      </c>
    </row>
    <row r="348" spans="1:6" x14ac:dyDescent="0.3">
      <c r="A348" s="9">
        <v>45875</v>
      </c>
      <c r="B348" s="10" t="s">
        <v>243</v>
      </c>
      <c r="C348" s="11">
        <v>7261</v>
      </c>
      <c r="D348" s="10" t="str">
        <f>_xlfn.XLOOKUP(C348, Mapping!$C:$C, Mapping!$E:$E, "Check ID")</f>
        <v>Transfer</v>
      </c>
      <c r="E348" s="12" t="s">
        <v>337</v>
      </c>
      <c r="F348" s="13">
        <v>2200</v>
      </c>
    </row>
    <row r="349" spans="1:6" x14ac:dyDescent="0.3">
      <c r="A349" s="9">
        <v>45877</v>
      </c>
      <c r="B349" s="10" t="s">
        <v>243</v>
      </c>
      <c r="C349" s="11">
        <v>4595</v>
      </c>
      <c r="D349" s="10" t="str">
        <f>_xlfn.XLOOKUP(C349, Mapping!$C:$C, Mapping!$E:$E, "Check ID")</f>
        <v>Transfer</v>
      </c>
      <c r="E349" s="12" t="s">
        <v>337</v>
      </c>
      <c r="F349" s="13">
        <v>1700</v>
      </c>
    </row>
    <row r="350" spans="1:6" x14ac:dyDescent="0.3">
      <c r="A350" s="9">
        <v>45880</v>
      </c>
      <c r="B350" s="10" t="s">
        <v>243</v>
      </c>
      <c r="C350" s="11">
        <v>834</v>
      </c>
      <c r="D350" s="10" t="str">
        <f>_xlfn.XLOOKUP(C350, Mapping!$C:$C, Mapping!$E:$E, "Check ID")</f>
        <v>Transfer</v>
      </c>
      <c r="E350" s="12" t="s">
        <v>337</v>
      </c>
      <c r="F350" s="13">
        <v>2000</v>
      </c>
    </row>
    <row r="351" spans="1:6" x14ac:dyDescent="0.3">
      <c r="A351" s="9">
        <v>45882</v>
      </c>
      <c r="B351" s="10" t="s">
        <v>243</v>
      </c>
      <c r="C351" s="11">
        <v>5763</v>
      </c>
      <c r="D351" s="10" t="str">
        <f>_xlfn.XLOOKUP(C351, Mapping!$C:$C, Mapping!$E:$E, "Check ID")</f>
        <v>Transfer</v>
      </c>
      <c r="E351" s="12" t="s">
        <v>337</v>
      </c>
      <c r="F351" s="13">
        <v>3600</v>
      </c>
    </row>
    <row r="352" spans="1:6" x14ac:dyDescent="0.3">
      <c r="A352" s="9">
        <v>45884</v>
      </c>
      <c r="B352" s="10" t="s">
        <v>243</v>
      </c>
      <c r="C352" s="11">
        <v>7586</v>
      </c>
      <c r="D352" s="10" t="str">
        <f>_xlfn.XLOOKUP(C352, Mapping!$C:$C, Mapping!$E:$E, "Check ID")</f>
        <v>Transfer</v>
      </c>
      <c r="E352" s="12" t="s">
        <v>337</v>
      </c>
      <c r="F352" s="13">
        <v>3000</v>
      </c>
    </row>
    <row r="353" spans="1:6" x14ac:dyDescent="0.3">
      <c r="A353" s="9">
        <v>45884</v>
      </c>
      <c r="B353" s="10" t="s">
        <v>243</v>
      </c>
      <c r="C353" s="11">
        <v>6170</v>
      </c>
      <c r="D353" s="10" t="str">
        <f>_xlfn.XLOOKUP(C353, Mapping!$C:$C, Mapping!$E:$E, "Check ID")</f>
        <v>Transfer</v>
      </c>
      <c r="E353" s="12" t="s">
        <v>337</v>
      </c>
      <c r="F353" s="13">
        <v>2000</v>
      </c>
    </row>
    <row r="354" spans="1:6" x14ac:dyDescent="0.3">
      <c r="A354" s="9">
        <v>45884</v>
      </c>
      <c r="B354" s="10" t="s">
        <v>243</v>
      </c>
      <c r="C354" s="11">
        <v>6406</v>
      </c>
      <c r="D354" s="10" t="str">
        <f>_xlfn.XLOOKUP(C354, Mapping!$C:$C, Mapping!$E:$E, "Check ID")</f>
        <v>Transfer</v>
      </c>
      <c r="E354" s="12" t="s">
        <v>337</v>
      </c>
      <c r="F354" s="13">
        <v>1800</v>
      </c>
    </row>
    <row r="355" spans="1:6" x14ac:dyDescent="0.3">
      <c r="A355" s="9">
        <v>45884</v>
      </c>
      <c r="B355" s="10" t="s">
        <v>243</v>
      </c>
      <c r="C355" s="11">
        <v>1004</v>
      </c>
      <c r="D355" s="10" t="str">
        <f>_xlfn.XLOOKUP(C355, Mapping!$C:$C, Mapping!$E:$E, "Check ID")</f>
        <v>Transfer</v>
      </c>
      <c r="E355" s="12" t="s">
        <v>337</v>
      </c>
      <c r="F355" s="13">
        <v>2000</v>
      </c>
    </row>
    <row r="356" spans="1:6" x14ac:dyDescent="0.3">
      <c r="A356" s="9">
        <v>45884</v>
      </c>
      <c r="B356" s="10" t="s">
        <v>243</v>
      </c>
      <c r="C356" s="11">
        <v>1077</v>
      </c>
      <c r="D356" s="10" t="str">
        <f>_xlfn.XLOOKUP(C356, Mapping!$C:$C, Mapping!$E:$E, "Check ID")</f>
        <v>Transfer</v>
      </c>
      <c r="E356" s="12" t="s">
        <v>337</v>
      </c>
      <c r="F356" s="13">
        <v>2400</v>
      </c>
    </row>
    <row r="357" spans="1:6" x14ac:dyDescent="0.3">
      <c r="A357" s="9">
        <v>45884</v>
      </c>
      <c r="B357" s="10" t="s">
        <v>243</v>
      </c>
      <c r="C357" s="11">
        <v>384</v>
      </c>
      <c r="D357" s="10" t="str">
        <f>_xlfn.XLOOKUP(C357, Mapping!$C:$C, Mapping!$E:$E, "Check ID")</f>
        <v>Transfer</v>
      </c>
      <c r="E357" s="12" t="s">
        <v>337</v>
      </c>
      <c r="F357" s="13">
        <v>1200</v>
      </c>
    </row>
    <row r="358" spans="1:6" x14ac:dyDescent="0.3">
      <c r="A358" s="9">
        <v>45885</v>
      </c>
      <c r="B358" s="10" t="s">
        <v>243</v>
      </c>
      <c r="C358" s="11">
        <v>0</v>
      </c>
      <c r="D358" s="10" t="str">
        <f>_xlfn.XLOOKUP(C358, Mapping!$C:$C, Mapping!$E:$E, "Check ID")</f>
        <v>Transfer</v>
      </c>
      <c r="E358" s="12" t="s">
        <v>337</v>
      </c>
      <c r="F358" s="13">
        <v>3000</v>
      </c>
    </row>
    <row r="359" spans="1:6" x14ac:dyDescent="0.3">
      <c r="A359" s="9">
        <v>45886</v>
      </c>
      <c r="B359" s="10" t="s">
        <v>243</v>
      </c>
      <c r="C359" s="11">
        <v>4016</v>
      </c>
      <c r="D359" s="10" t="str">
        <f>_xlfn.XLOOKUP(C359, Mapping!$C:$C, Mapping!$E:$E, "Check ID")</f>
        <v>Transfer</v>
      </c>
      <c r="E359" s="12" t="s">
        <v>337</v>
      </c>
      <c r="F359" s="13">
        <v>2000</v>
      </c>
    </row>
    <row r="360" spans="1:6" x14ac:dyDescent="0.3">
      <c r="A360" s="9">
        <v>45893</v>
      </c>
      <c r="B360" s="10" t="s">
        <v>243</v>
      </c>
      <c r="C360" s="11">
        <v>1082</v>
      </c>
      <c r="D360" s="10" t="str">
        <f>_xlfn.XLOOKUP(C360, Mapping!$C:$C, Mapping!$E:$E, "Check ID")</f>
        <v>Transfer</v>
      </c>
      <c r="E360" s="12" t="s">
        <v>337</v>
      </c>
      <c r="F360" s="13">
        <v>1500</v>
      </c>
    </row>
    <row r="361" spans="1:6" x14ac:dyDescent="0.3">
      <c r="A361" s="9">
        <v>45893</v>
      </c>
      <c r="B361" s="10" t="s">
        <v>243</v>
      </c>
      <c r="C361" s="11" t="s">
        <v>7</v>
      </c>
      <c r="D361" s="10" t="str">
        <f>_xlfn.XLOOKUP(C361, Mapping!$C:$C, Mapping!$E:$E, "Check ID")</f>
        <v>Cash_In</v>
      </c>
      <c r="E361" s="12" t="s">
        <v>337</v>
      </c>
      <c r="F361" s="13">
        <v>2000</v>
      </c>
    </row>
    <row r="362" spans="1:6" x14ac:dyDescent="0.3">
      <c r="A362" s="9">
        <v>45894</v>
      </c>
      <c r="B362" s="10" t="s">
        <v>243</v>
      </c>
      <c r="C362" s="11">
        <v>834</v>
      </c>
      <c r="D362" s="10" t="str">
        <f>_xlfn.XLOOKUP(C362, Mapping!$C:$C, Mapping!$E:$E, "Check ID")</f>
        <v>Transfer</v>
      </c>
      <c r="E362" s="12" t="s">
        <v>337</v>
      </c>
      <c r="F362" s="13">
        <v>1500</v>
      </c>
    </row>
    <row r="363" spans="1:6" x14ac:dyDescent="0.3">
      <c r="A363" s="9">
        <v>45898</v>
      </c>
      <c r="B363" s="10" t="s">
        <v>243</v>
      </c>
      <c r="C363" s="11">
        <v>295</v>
      </c>
      <c r="D363" s="10" t="str">
        <f>_xlfn.XLOOKUP(C363, Mapping!$C:$C, Mapping!$E:$E, "Check ID")</f>
        <v>Transfer</v>
      </c>
      <c r="E363" s="12" t="s">
        <v>337</v>
      </c>
      <c r="F363" s="13">
        <v>5000</v>
      </c>
    </row>
    <row r="364" spans="1:6" x14ac:dyDescent="0.3">
      <c r="A364" s="9">
        <v>45898</v>
      </c>
      <c r="B364" s="10" t="s">
        <v>243</v>
      </c>
      <c r="C364" s="11">
        <v>7586</v>
      </c>
      <c r="D364" s="10" t="str">
        <f>_xlfn.XLOOKUP(C364, Mapping!$C:$C, Mapping!$E:$E, "Check ID")</f>
        <v>Transfer</v>
      </c>
      <c r="E364" s="12" t="s">
        <v>337</v>
      </c>
      <c r="F364" s="13">
        <v>3000</v>
      </c>
    </row>
    <row r="365" spans="1:6" x14ac:dyDescent="0.3">
      <c r="A365" s="9">
        <v>45898</v>
      </c>
      <c r="B365" s="10" t="s">
        <v>243</v>
      </c>
      <c r="C365" s="11">
        <v>5763</v>
      </c>
      <c r="D365" s="10" t="str">
        <f>_xlfn.XLOOKUP(C365, Mapping!$C:$C, Mapping!$E:$E, "Check ID")</f>
        <v>Transfer</v>
      </c>
      <c r="E365" s="12" t="s">
        <v>337</v>
      </c>
      <c r="F365" s="13">
        <v>3600</v>
      </c>
    </row>
    <row r="366" spans="1:6" x14ac:dyDescent="0.3">
      <c r="A366" s="9">
        <v>45900</v>
      </c>
      <c r="B366" s="10" t="s">
        <v>243</v>
      </c>
      <c r="C366" s="11">
        <v>7310</v>
      </c>
      <c r="D366" s="10" t="str">
        <f>_xlfn.XLOOKUP(C366, Mapping!$C:$C, Mapping!$E:$E, "Check ID")</f>
        <v>Transfer</v>
      </c>
      <c r="E366" s="12" t="s">
        <v>337</v>
      </c>
      <c r="F366" s="13">
        <v>2600</v>
      </c>
    </row>
    <row r="367" spans="1:6" x14ac:dyDescent="0.3">
      <c r="A367" s="9">
        <v>45900</v>
      </c>
      <c r="B367" s="10" t="s">
        <v>243</v>
      </c>
      <c r="C367" s="11">
        <v>834</v>
      </c>
      <c r="D367" s="10" t="str">
        <f>_xlfn.XLOOKUP(C367, Mapping!$C:$C, Mapping!$E:$E, "Check ID")</f>
        <v>Transfer</v>
      </c>
      <c r="E367" s="12" t="s">
        <v>337</v>
      </c>
      <c r="F367" s="13">
        <v>2000</v>
      </c>
    </row>
    <row r="368" spans="1:6" x14ac:dyDescent="0.3">
      <c r="A368" s="9">
        <v>45902</v>
      </c>
      <c r="B368" s="10" t="s">
        <v>249</v>
      </c>
      <c r="C368" s="11">
        <v>816</v>
      </c>
      <c r="D368" s="10" t="str">
        <f>_xlfn.XLOOKUP(C368, Mapping!$C:$C, Mapping!$E:$E, "Check ID")</f>
        <v>Saving Account</v>
      </c>
      <c r="E368" s="12" t="s">
        <v>336</v>
      </c>
      <c r="F368" s="13">
        <v>19015</v>
      </c>
    </row>
    <row r="369" spans="1:6" x14ac:dyDescent="0.3">
      <c r="A369" s="9">
        <v>45906</v>
      </c>
      <c r="B369" s="10" t="s">
        <v>249</v>
      </c>
      <c r="C369" s="11">
        <v>7586</v>
      </c>
      <c r="D369" s="10" t="str">
        <f>_xlfn.XLOOKUP(C369, Mapping!$C:$C, Mapping!$E:$E, "Check ID")</f>
        <v>Transfer</v>
      </c>
      <c r="E369" s="12" t="s">
        <v>336</v>
      </c>
      <c r="F369" s="13">
        <v>200</v>
      </c>
    </row>
    <row r="370" spans="1:6" x14ac:dyDescent="0.3">
      <c r="A370" s="9">
        <v>45906</v>
      </c>
      <c r="B370" s="10" t="s">
        <v>249</v>
      </c>
      <c r="C370" s="11">
        <v>9950</v>
      </c>
      <c r="D370" s="10" t="str">
        <f>_xlfn.XLOOKUP(C370, Mapping!$C:$C, Mapping!$E:$E, "Check ID")</f>
        <v>Transfer</v>
      </c>
      <c r="E370" s="12" t="s">
        <v>336</v>
      </c>
      <c r="F370" s="13">
        <v>2000</v>
      </c>
    </row>
    <row r="371" spans="1:6" x14ac:dyDescent="0.3">
      <c r="A371" s="9">
        <v>45912</v>
      </c>
      <c r="B371" s="10" t="s">
        <v>249</v>
      </c>
      <c r="C371" s="11" t="s">
        <v>114</v>
      </c>
      <c r="D371" s="10" t="str">
        <f>_xlfn.XLOOKUP(C371, Mapping!$C:$C, Mapping!$E:$E, "Check ID")</f>
        <v>Subscription</v>
      </c>
      <c r="E371" s="12" t="s">
        <v>336</v>
      </c>
      <c r="F371" s="13">
        <v>239</v>
      </c>
    </row>
    <row r="372" spans="1:6" x14ac:dyDescent="0.3">
      <c r="A372" s="9">
        <v>45915</v>
      </c>
      <c r="B372" s="10" t="s">
        <v>249</v>
      </c>
      <c r="C372" s="11" t="s">
        <v>123</v>
      </c>
      <c r="D372" s="10" t="str">
        <f>_xlfn.XLOOKUP(C372, Mapping!$C:$C, Mapping!$E:$E, "Check ID")</f>
        <v>Debt</v>
      </c>
      <c r="E372" s="12" t="s">
        <v>336</v>
      </c>
      <c r="F372" s="13">
        <v>5259.37</v>
      </c>
    </row>
    <row r="373" spans="1:6" x14ac:dyDescent="0.3">
      <c r="A373" s="9">
        <v>45915</v>
      </c>
      <c r="B373" s="10" t="s">
        <v>249</v>
      </c>
      <c r="C373" s="11">
        <v>1059</v>
      </c>
      <c r="D373" s="10" t="str">
        <f>_xlfn.XLOOKUP(C373, Mapping!$C:$C, Mapping!$E:$E, "Check ID")</f>
        <v>Phone Utilities</v>
      </c>
      <c r="E373" s="12" t="s">
        <v>336</v>
      </c>
      <c r="F373" s="13">
        <v>181</v>
      </c>
    </row>
    <row r="374" spans="1:6" x14ac:dyDescent="0.3">
      <c r="A374" s="9">
        <v>45916</v>
      </c>
      <c r="B374" s="10" t="s">
        <v>249</v>
      </c>
      <c r="C374" s="11" t="s">
        <v>6</v>
      </c>
      <c r="D374" s="10" t="str">
        <f>_xlfn.XLOOKUP(C374, Mapping!$C:$C, Mapping!$E:$E, "Check ID")</f>
        <v>Government</v>
      </c>
      <c r="E374" s="12" t="s">
        <v>336</v>
      </c>
      <c r="F374" s="13">
        <v>7005</v>
      </c>
    </row>
    <row r="375" spans="1:6" x14ac:dyDescent="0.3">
      <c r="A375" s="9">
        <v>45916</v>
      </c>
      <c r="B375" s="10" t="s">
        <v>249</v>
      </c>
      <c r="C375" s="11">
        <v>816</v>
      </c>
      <c r="D375" s="10" t="str">
        <f>_xlfn.XLOOKUP(C375, Mapping!$C:$C, Mapping!$E:$E, "Check ID")</f>
        <v>Saving Account</v>
      </c>
      <c r="E375" s="12" t="s">
        <v>336</v>
      </c>
      <c r="F375" s="13">
        <v>20015</v>
      </c>
    </row>
    <row r="376" spans="1:6" x14ac:dyDescent="0.3">
      <c r="A376" s="9">
        <v>45920</v>
      </c>
      <c r="B376" s="10" t="s">
        <v>249</v>
      </c>
      <c r="C376" s="11">
        <v>9950</v>
      </c>
      <c r="D376" s="10" t="str">
        <f>_xlfn.XLOOKUP(C376, Mapping!$C:$C, Mapping!$E:$E, "Check ID")</f>
        <v>Transfer</v>
      </c>
      <c r="E376" s="12" t="s">
        <v>336</v>
      </c>
      <c r="F376" s="13">
        <v>3000</v>
      </c>
    </row>
    <row r="377" spans="1:6" x14ac:dyDescent="0.3">
      <c r="A377" s="9">
        <v>45920</v>
      </c>
      <c r="B377" s="10" t="s">
        <v>249</v>
      </c>
      <c r="C377" s="11">
        <v>816</v>
      </c>
      <c r="D377" s="10" t="str">
        <f>_xlfn.XLOOKUP(C377, Mapping!$C:$C, Mapping!$E:$E, "Check ID")</f>
        <v>Saving Account</v>
      </c>
      <c r="E377" s="12" t="s">
        <v>336</v>
      </c>
      <c r="F377" s="13">
        <v>3015</v>
      </c>
    </row>
    <row r="378" spans="1:6" x14ac:dyDescent="0.3">
      <c r="A378" s="9">
        <v>45927</v>
      </c>
      <c r="B378" s="10" t="s">
        <v>249</v>
      </c>
      <c r="C378" s="11">
        <v>816</v>
      </c>
      <c r="D378" s="10" t="str">
        <f>_xlfn.XLOOKUP(C378, Mapping!$C:$C, Mapping!$E:$E, "Check ID")</f>
        <v>Saving Account</v>
      </c>
      <c r="E378" s="12" t="s">
        <v>336</v>
      </c>
      <c r="F378" s="13">
        <v>3015</v>
      </c>
    </row>
    <row r="379" spans="1:6" x14ac:dyDescent="0.3">
      <c r="A379" s="9">
        <v>45930</v>
      </c>
      <c r="B379" s="10" t="s">
        <v>249</v>
      </c>
      <c r="C379" s="11">
        <v>6170</v>
      </c>
      <c r="D379" s="10" t="str">
        <f>_xlfn.XLOOKUP(C379, Mapping!$C:$C, Mapping!$E:$E, "Check ID")</f>
        <v>Transfer</v>
      </c>
      <c r="E379" s="12" t="s">
        <v>336</v>
      </c>
      <c r="F379" s="13">
        <v>9015</v>
      </c>
    </row>
    <row r="380" spans="1:6" x14ac:dyDescent="0.3">
      <c r="A380" s="9">
        <v>45930</v>
      </c>
      <c r="B380" s="10" t="s">
        <v>249</v>
      </c>
      <c r="C380" s="11">
        <v>1077</v>
      </c>
      <c r="D380" s="10" t="str">
        <f>_xlfn.XLOOKUP(C380, Mapping!$C:$C, Mapping!$E:$E, "Check ID")</f>
        <v>Transfer</v>
      </c>
      <c r="E380" s="12" t="s">
        <v>336</v>
      </c>
      <c r="F380" s="13">
        <v>5015</v>
      </c>
    </row>
    <row r="381" spans="1:6" x14ac:dyDescent="0.3">
      <c r="A381" s="9">
        <v>45930</v>
      </c>
      <c r="B381" s="10" t="s">
        <v>249</v>
      </c>
      <c r="C381" s="11">
        <v>1059</v>
      </c>
      <c r="D381" s="10" t="str">
        <f>_xlfn.XLOOKUP(C381, Mapping!$C:$C, Mapping!$E:$E, "Check ID")</f>
        <v>Phone Utilities</v>
      </c>
      <c r="E381" s="12" t="s">
        <v>336</v>
      </c>
      <c r="F381" s="13">
        <v>181</v>
      </c>
    </row>
    <row r="382" spans="1:6" x14ac:dyDescent="0.3">
      <c r="A382" s="9">
        <v>45901</v>
      </c>
      <c r="B382" s="10" t="s">
        <v>249</v>
      </c>
      <c r="C382" s="11">
        <v>7096</v>
      </c>
      <c r="D382" s="10" t="str">
        <f>_xlfn.XLOOKUP(C382, Mapping!$C:$C, Mapping!$E:$E, "Check ID")</f>
        <v>Transfer</v>
      </c>
      <c r="E382" s="12" t="s">
        <v>337</v>
      </c>
      <c r="F382" s="13">
        <v>2000</v>
      </c>
    </row>
    <row r="383" spans="1:6" x14ac:dyDescent="0.3">
      <c r="A383" s="9">
        <v>45901</v>
      </c>
      <c r="B383" s="10" t="s">
        <v>249</v>
      </c>
      <c r="C383" s="11">
        <v>4016</v>
      </c>
      <c r="D383" s="10" t="str">
        <f>_xlfn.XLOOKUP(C383, Mapping!$C:$C, Mapping!$E:$E, "Check ID")</f>
        <v>Transfer</v>
      </c>
      <c r="E383" s="12" t="s">
        <v>337</v>
      </c>
      <c r="F383" s="13">
        <v>2000</v>
      </c>
    </row>
    <row r="384" spans="1:6" x14ac:dyDescent="0.3">
      <c r="A384" s="9">
        <v>45903</v>
      </c>
      <c r="B384" s="10" t="s">
        <v>249</v>
      </c>
      <c r="C384" s="11">
        <v>8758</v>
      </c>
      <c r="D384" s="10" t="str">
        <f>_xlfn.XLOOKUP(C384, Mapping!$C:$C, Mapping!$E:$E, "Check ID")</f>
        <v>Transfer</v>
      </c>
      <c r="E384" s="12" t="s">
        <v>337</v>
      </c>
      <c r="F384" s="13">
        <v>1400</v>
      </c>
    </row>
    <row r="385" spans="1:6" x14ac:dyDescent="0.3">
      <c r="A385" s="9">
        <v>45905</v>
      </c>
      <c r="B385" s="10" t="s">
        <v>249</v>
      </c>
      <c r="C385" s="11">
        <v>7276</v>
      </c>
      <c r="D385" s="10" t="str">
        <f>_xlfn.XLOOKUP(C385, Mapping!$C:$C, Mapping!$E:$E, "Check ID")</f>
        <v>Transfer</v>
      </c>
      <c r="E385" s="12" t="s">
        <v>337</v>
      </c>
      <c r="F385" s="13">
        <v>2000</v>
      </c>
    </row>
    <row r="386" spans="1:6" x14ac:dyDescent="0.3">
      <c r="A386" s="9">
        <v>45907</v>
      </c>
      <c r="B386" s="10" t="s">
        <v>249</v>
      </c>
      <c r="C386" s="11">
        <v>7261</v>
      </c>
      <c r="D386" s="10" t="str">
        <f>_xlfn.XLOOKUP(C386, Mapping!$C:$C, Mapping!$E:$E, "Check ID")</f>
        <v>Transfer</v>
      </c>
      <c r="E386" s="12" t="s">
        <v>337</v>
      </c>
      <c r="F386" s="13">
        <v>3000</v>
      </c>
    </row>
    <row r="387" spans="1:6" x14ac:dyDescent="0.3">
      <c r="A387" s="9">
        <v>45908</v>
      </c>
      <c r="B387" s="10" t="s">
        <v>249</v>
      </c>
      <c r="C387" s="11">
        <v>7276</v>
      </c>
      <c r="D387" s="10" t="str">
        <f>_xlfn.XLOOKUP(C387, Mapping!$C:$C, Mapping!$E:$E, "Check ID")</f>
        <v>Transfer</v>
      </c>
      <c r="E387" s="12" t="s">
        <v>337</v>
      </c>
      <c r="F387" s="13">
        <v>1000</v>
      </c>
    </row>
    <row r="388" spans="1:6" x14ac:dyDescent="0.3">
      <c r="A388" s="9">
        <v>45915</v>
      </c>
      <c r="B388" s="10" t="s">
        <v>249</v>
      </c>
      <c r="C388" s="11">
        <v>4530</v>
      </c>
      <c r="D388" s="10" t="str">
        <f>_xlfn.XLOOKUP(C388, Mapping!$C:$C, Mapping!$E:$E, "Check ID")</f>
        <v>Saving Account</v>
      </c>
      <c r="E388" s="12" t="s">
        <v>337</v>
      </c>
      <c r="F388" s="13">
        <v>14000</v>
      </c>
    </row>
    <row r="389" spans="1:6" x14ac:dyDescent="0.3">
      <c r="A389" s="9">
        <v>45915</v>
      </c>
      <c r="B389" s="10" t="s">
        <v>249</v>
      </c>
      <c r="C389" s="11">
        <v>834</v>
      </c>
      <c r="D389" s="10" t="str">
        <f>_xlfn.XLOOKUP(C389, Mapping!$C:$C, Mapping!$E:$E, "Check ID")</f>
        <v>Transfer</v>
      </c>
      <c r="E389" s="12" t="s">
        <v>337</v>
      </c>
      <c r="F389" s="13">
        <v>1000</v>
      </c>
    </row>
    <row r="390" spans="1:6" x14ac:dyDescent="0.3">
      <c r="A390" s="9">
        <v>45915</v>
      </c>
      <c r="B390" s="10" t="s">
        <v>249</v>
      </c>
      <c r="C390" s="11">
        <v>384</v>
      </c>
      <c r="D390" s="10" t="str">
        <f>_xlfn.XLOOKUP(C390, Mapping!$C:$C, Mapping!$E:$E, "Check ID")</f>
        <v>Transfer</v>
      </c>
      <c r="E390" s="12" t="s">
        <v>337</v>
      </c>
      <c r="F390" s="13">
        <v>1200</v>
      </c>
    </row>
    <row r="391" spans="1:6" x14ac:dyDescent="0.3">
      <c r="A391" s="9">
        <v>45916</v>
      </c>
      <c r="B391" s="10" t="s">
        <v>249</v>
      </c>
      <c r="C391" s="11">
        <v>4016</v>
      </c>
      <c r="D391" s="10" t="str">
        <f>_xlfn.XLOOKUP(C391, Mapping!$C:$C, Mapping!$E:$E, "Check ID")</f>
        <v>Transfer</v>
      </c>
      <c r="E391" s="12" t="s">
        <v>337</v>
      </c>
      <c r="F391" s="13">
        <v>2000</v>
      </c>
    </row>
    <row r="392" spans="1:6" x14ac:dyDescent="0.3">
      <c r="A392" s="9">
        <v>45916</v>
      </c>
      <c r="B392" s="10" t="s">
        <v>249</v>
      </c>
      <c r="C392" s="11" t="s">
        <v>53</v>
      </c>
      <c r="D392" s="10" t="str">
        <f>_xlfn.XLOOKUP(C392, Mapping!$C:$C, Mapping!$E:$E, "Check ID")</f>
        <v>Transfer</v>
      </c>
      <c r="E392" s="12" t="s">
        <v>337</v>
      </c>
      <c r="F392" s="13">
        <v>2000</v>
      </c>
    </row>
    <row r="393" spans="1:6" x14ac:dyDescent="0.3">
      <c r="A393" s="9">
        <v>45917</v>
      </c>
      <c r="B393" s="10" t="s">
        <v>249</v>
      </c>
      <c r="C393" s="23">
        <v>5763</v>
      </c>
      <c r="D393" s="10" t="str">
        <f>_xlfn.XLOOKUP(C393, Mapping!$C:$C, Mapping!$E:$E, "Check ID")</f>
        <v>Transfer</v>
      </c>
      <c r="E393" s="12" t="s">
        <v>337</v>
      </c>
      <c r="F393" s="13">
        <v>3600</v>
      </c>
    </row>
    <row r="394" spans="1:6" x14ac:dyDescent="0.3">
      <c r="A394" s="9">
        <v>45918</v>
      </c>
      <c r="B394" s="10" t="s">
        <v>249</v>
      </c>
      <c r="C394" s="11">
        <v>5791</v>
      </c>
      <c r="D394" s="10" t="str">
        <f>_xlfn.XLOOKUP(C394, Mapping!$C:$C, Mapping!$E:$E, "Check ID")</f>
        <v>Transfer</v>
      </c>
      <c r="E394" s="12" t="s">
        <v>337</v>
      </c>
      <c r="F394" s="13">
        <v>862</v>
      </c>
    </row>
    <row r="395" spans="1:6" x14ac:dyDescent="0.3">
      <c r="A395" s="9">
        <v>45920</v>
      </c>
      <c r="B395" s="10" t="s">
        <v>249</v>
      </c>
      <c r="C395" s="11">
        <v>7276</v>
      </c>
      <c r="D395" s="10" t="str">
        <f>_xlfn.XLOOKUP(C395, Mapping!$C:$C, Mapping!$E:$E, "Check ID")</f>
        <v>Transfer</v>
      </c>
      <c r="E395" s="12" t="s">
        <v>337</v>
      </c>
      <c r="F395" s="13">
        <v>3000</v>
      </c>
    </row>
    <row r="396" spans="1:6" x14ac:dyDescent="0.3">
      <c r="A396" s="9">
        <v>45923</v>
      </c>
      <c r="B396" s="10" t="s">
        <v>249</v>
      </c>
      <c r="C396" s="11">
        <v>7261</v>
      </c>
      <c r="D396" s="10" t="str">
        <f>_xlfn.XLOOKUP(C396, Mapping!$C:$C, Mapping!$E:$E, "Check ID")</f>
        <v>Transfer</v>
      </c>
      <c r="E396" s="12" t="s">
        <v>337</v>
      </c>
      <c r="F396" s="13">
        <v>2000</v>
      </c>
    </row>
    <row r="397" spans="1:6" x14ac:dyDescent="0.3">
      <c r="A397" s="9">
        <v>45923</v>
      </c>
      <c r="B397" s="10" t="s">
        <v>249</v>
      </c>
      <c r="C397" s="11">
        <v>6406</v>
      </c>
      <c r="D397" s="10" t="str">
        <f>_xlfn.XLOOKUP(C397, Mapping!$C:$C, Mapping!$E:$E, "Check ID")</f>
        <v>Transfer</v>
      </c>
      <c r="E397" s="12" t="s">
        <v>337</v>
      </c>
      <c r="F397" s="13">
        <v>1800</v>
      </c>
    </row>
    <row r="398" spans="1:6" x14ac:dyDescent="0.3">
      <c r="A398" s="9">
        <v>45926</v>
      </c>
      <c r="B398" s="10" t="s">
        <v>249</v>
      </c>
      <c r="C398" s="11">
        <v>834</v>
      </c>
      <c r="D398" s="10" t="str">
        <f>_xlfn.XLOOKUP(C398, Mapping!$C:$C, Mapping!$E:$E, "Check ID")</f>
        <v>Transfer</v>
      </c>
      <c r="E398" s="12" t="s">
        <v>337</v>
      </c>
      <c r="F398" s="13">
        <v>500</v>
      </c>
    </row>
    <row r="399" spans="1:6" x14ac:dyDescent="0.3">
      <c r="A399" s="9">
        <v>45927</v>
      </c>
      <c r="B399" s="10" t="s">
        <v>249</v>
      </c>
      <c r="C399" s="11">
        <v>834</v>
      </c>
      <c r="D399" s="10" t="str">
        <f>_xlfn.XLOOKUP(C399, Mapping!$C:$C, Mapping!$E:$E, "Check ID")</f>
        <v>Transfer</v>
      </c>
      <c r="E399" s="12" t="s">
        <v>337</v>
      </c>
      <c r="F399" s="13">
        <v>500</v>
      </c>
    </row>
    <row r="400" spans="1:6" x14ac:dyDescent="0.3">
      <c r="A400" s="9">
        <v>45930</v>
      </c>
      <c r="B400" s="10" t="s">
        <v>249</v>
      </c>
      <c r="C400" s="11">
        <v>1077</v>
      </c>
      <c r="D400" s="10" t="str">
        <f>_xlfn.XLOOKUP(C400, Mapping!$C:$C, Mapping!$E:$E, "Check ID")</f>
        <v>Transfer</v>
      </c>
      <c r="E400" s="12" t="s">
        <v>337</v>
      </c>
      <c r="F400" s="13">
        <v>1000</v>
      </c>
    </row>
    <row r="401" spans="1:6" x14ac:dyDescent="0.3">
      <c r="A401" s="9">
        <v>45930</v>
      </c>
      <c r="B401" s="10" t="s">
        <v>249</v>
      </c>
      <c r="C401" s="11">
        <v>6170</v>
      </c>
      <c r="D401" s="10" t="str">
        <f>_xlfn.XLOOKUP(C401, Mapping!$C:$C, Mapping!$E:$E, "Check ID")</f>
        <v>Transfer</v>
      </c>
      <c r="E401" s="12" t="s">
        <v>337</v>
      </c>
      <c r="F401" s="13">
        <v>2000</v>
      </c>
    </row>
    <row r="402" spans="1:6" x14ac:dyDescent="0.3">
      <c r="A402" s="9">
        <v>45930</v>
      </c>
      <c r="B402" s="10" t="s">
        <v>249</v>
      </c>
      <c r="C402" s="11">
        <v>295</v>
      </c>
      <c r="D402" s="10" t="str">
        <f>_xlfn.XLOOKUP(C402, Mapping!$C:$C, Mapping!$E:$E, "Check ID")</f>
        <v>Transfer</v>
      </c>
      <c r="E402" s="12" t="s">
        <v>337</v>
      </c>
      <c r="F402" s="13">
        <v>6000</v>
      </c>
    </row>
    <row r="403" spans="1:6" x14ac:dyDescent="0.3">
      <c r="A403" s="9">
        <v>45930</v>
      </c>
      <c r="B403" s="10" t="s">
        <v>249</v>
      </c>
      <c r="C403" s="11">
        <v>7586</v>
      </c>
      <c r="D403" s="10" t="str">
        <f>_xlfn.XLOOKUP(C403, Mapping!$C:$C, Mapping!$E:$E, "Check ID")</f>
        <v>Transfer</v>
      </c>
      <c r="E403" s="12" t="s">
        <v>337</v>
      </c>
      <c r="F403" s="13">
        <v>1500</v>
      </c>
    </row>
    <row r="404" spans="1:6" x14ac:dyDescent="0.3">
      <c r="A404" s="9">
        <v>45931</v>
      </c>
      <c r="B404" s="10" t="s">
        <v>252</v>
      </c>
      <c r="C404" s="11">
        <v>816</v>
      </c>
      <c r="D404" s="10" t="str">
        <f>_xlfn.XLOOKUP(C404, Mapping!$C:$C, Mapping!$E:$E, "Check ID")</f>
        <v>Saving Account</v>
      </c>
      <c r="E404" s="12" t="s">
        <v>336</v>
      </c>
      <c r="F404" s="14">
        <v>16015</v>
      </c>
    </row>
    <row r="405" spans="1:6" x14ac:dyDescent="0.3">
      <c r="A405" s="9">
        <v>45934</v>
      </c>
      <c r="B405" s="10" t="s">
        <v>252</v>
      </c>
      <c r="C405" s="11">
        <v>9619</v>
      </c>
      <c r="D405" s="10" t="str">
        <f>_xlfn.XLOOKUP(C405, Mapping!$C:$C, Mapping!$E:$E, "Check ID")</f>
        <v>Undisclosed</v>
      </c>
      <c r="E405" s="12" t="s">
        <v>336</v>
      </c>
      <c r="F405" s="14">
        <v>260</v>
      </c>
    </row>
    <row r="406" spans="1:6" x14ac:dyDescent="0.3">
      <c r="A406" s="9">
        <v>45941</v>
      </c>
      <c r="B406" s="10" t="s">
        <v>252</v>
      </c>
      <c r="C406" s="11" t="s">
        <v>114</v>
      </c>
      <c r="D406" s="10" t="str">
        <f>_xlfn.XLOOKUP(C406, Mapping!$C:$C, Mapping!$E:$E, "Check ID")</f>
        <v>Subscription</v>
      </c>
      <c r="E406" s="12" t="s">
        <v>336</v>
      </c>
      <c r="F406" s="14">
        <v>239</v>
      </c>
    </row>
    <row r="407" spans="1:6" x14ac:dyDescent="0.3">
      <c r="A407" s="9">
        <v>45942</v>
      </c>
      <c r="B407" s="10" t="s">
        <v>252</v>
      </c>
      <c r="C407" s="11" t="s">
        <v>123</v>
      </c>
      <c r="D407" s="10" t="str">
        <f>_xlfn.XLOOKUP(C407, Mapping!$C:$C, Mapping!$E:$E, "Check ID")</f>
        <v>Debt</v>
      </c>
      <c r="E407" s="12" t="s">
        <v>336</v>
      </c>
      <c r="F407" s="14">
        <v>5259.37</v>
      </c>
    </row>
    <row r="408" spans="1:6" x14ac:dyDescent="0.3">
      <c r="A408" s="9">
        <v>45942</v>
      </c>
      <c r="B408" s="10" t="s">
        <v>252</v>
      </c>
      <c r="C408" s="11">
        <v>5125</v>
      </c>
      <c r="D408" s="10" t="str">
        <f>_xlfn.XLOOKUP(C408, Mapping!$C:$C, Mapping!$E:$E, "Check ID")</f>
        <v>Undisclosed</v>
      </c>
      <c r="E408" s="12" t="s">
        <v>336</v>
      </c>
      <c r="F408" s="14">
        <v>650</v>
      </c>
    </row>
    <row r="409" spans="1:6" x14ac:dyDescent="0.3">
      <c r="A409" s="9">
        <v>45943</v>
      </c>
      <c r="B409" s="10" t="s">
        <v>252</v>
      </c>
      <c r="C409" s="11">
        <v>5763</v>
      </c>
      <c r="D409" s="10" t="str">
        <f>_xlfn.XLOOKUP(C409, Mapping!$C:$C, Mapping!$E:$E, "Check ID")</f>
        <v>Transfer</v>
      </c>
      <c r="E409" s="12" t="s">
        <v>336</v>
      </c>
      <c r="F409" s="14">
        <v>18000</v>
      </c>
    </row>
    <row r="410" spans="1:6" x14ac:dyDescent="0.3">
      <c r="A410" s="9">
        <v>45945</v>
      </c>
      <c r="B410" s="10" t="s">
        <v>252</v>
      </c>
      <c r="C410" s="11" t="s">
        <v>6</v>
      </c>
      <c r="D410" s="10" t="str">
        <f>_xlfn.XLOOKUP(C410, Mapping!$C:$C, Mapping!$E:$E, "Check ID")</f>
        <v>Government</v>
      </c>
      <c r="E410" s="12" t="s">
        <v>336</v>
      </c>
      <c r="F410" s="14">
        <v>7005</v>
      </c>
    </row>
    <row r="411" spans="1:6" x14ac:dyDescent="0.3">
      <c r="A411" s="9">
        <v>45945</v>
      </c>
      <c r="B411" s="10" t="s">
        <v>252</v>
      </c>
      <c r="C411" s="11">
        <v>4690</v>
      </c>
      <c r="D411" s="10" t="str">
        <f>_xlfn.XLOOKUP(C411, Mapping!$C:$C, Mapping!$E:$E, "Check ID")</f>
        <v>Terra Transfer</v>
      </c>
      <c r="E411" s="12" t="s">
        <v>336</v>
      </c>
      <c r="F411" s="14">
        <v>780</v>
      </c>
    </row>
    <row r="412" spans="1:6" x14ac:dyDescent="0.3">
      <c r="A412" s="9">
        <v>45946</v>
      </c>
      <c r="B412" s="10" t="s">
        <v>252</v>
      </c>
      <c r="C412" s="11">
        <v>1059</v>
      </c>
      <c r="D412" s="10" t="str">
        <f>_xlfn.XLOOKUP(C412, Mapping!$C:$C, Mapping!$E:$E, "Check ID")</f>
        <v>Phone Utilities</v>
      </c>
      <c r="E412" s="12" t="s">
        <v>336</v>
      </c>
      <c r="F412" s="14">
        <v>181</v>
      </c>
    </row>
    <row r="413" spans="1:6" x14ac:dyDescent="0.3">
      <c r="A413" s="9">
        <v>45949</v>
      </c>
      <c r="B413" s="10" t="s">
        <v>252</v>
      </c>
      <c r="C413" s="11">
        <v>6170</v>
      </c>
      <c r="D413" s="10" t="str">
        <f>_xlfn.XLOOKUP(C413, Mapping!$C:$C, Mapping!$E:$E, "Check ID")</f>
        <v>Transfer</v>
      </c>
      <c r="E413" s="12" t="s">
        <v>336</v>
      </c>
      <c r="F413" s="14">
        <v>5015</v>
      </c>
    </row>
    <row r="414" spans="1:6" x14ac:dyDescent="0.3">
      <c r="A414" s="9">
        <v>45949</v>
      </c>
      <c r="B414" s="10" t="s">
        <v>252</v>
      </c>
      <c r="C414" s="11">
        <v>816</v>
      </c>
      <c r="D414" s="10" t="str">
        <f>_xlfn.XLOOKUP(C414, Mapping!$C:$C, Mapping!$E:$E, "Check ID")</f>
        <v>Saving Account</v>
      </c>
      <c r="E414" s="12" t="s">
        <v>336</v>
      </c>
      <c r="F414" s="14">
        <v>22015</v>
      </c>
    </row>
    <row r="415" spans="1:6" x14ac:dyDescent="0.3">
      <c r="A415" s="9">
        <v>45950</v>
      </c>
      <c r="B415" s="10" t="s">
        <v>252</v>
      </c>
      <c r="C415" s="11" t="s">
        <v>144</v>
      </c>
      <c r="D415" s="10" t="str">
        <f>_xlfn.XLOOKUP(C415, Mapping!$C:$C, Mapping!$E:$E, "Check ID")</f>
        <v>Government</v>
      </c>
      <c r="E415" s="12" t="s">
        <v>336</v>
      </c>
      <c r="F415" s="14">
        <v>2470.59</v>
      </c>
    </row>
    <row r="416" spans="1:6" x14ac:dyDescent="0.3">
      <c r="A416" s="9">
        <v>45952</v>
      </c>
      <c r="B416" s="10" t="s">
        <v>252</v>
      </c>
      <c r="C416" s="11">
        <v>4690</v>
      </c>
      <c r="D416" s="10" t="str">
        <f>_xlfn.XLOOKUP(C416, Mapping!$C:$C, Mapping!$E:$E, "Check ID")</f>
        <v>Terra Transfer</v>
      </c>
      <c r="E416" s="12" t="s">
        <v>336</v>
      </c>
      <c r="F416" s="14">
        <v>1000</v>
      </c>
    </row>
    <row r="417" spans="1:6" x14ac:dyDescent="0.3">
      <c r="A417" s="9">
        <v>45954</v>
      </c>
      <c r="B417" s="10" t="s">
        <v>252</v>
      </c>
      <c r="C417" s="11">
        <v>4969</v>
      </c>
      <c r="D417" s="10" t="str">
        <f>_xlfn.XLOOKUP(C417, Mapping!$C:$C, Mapping!$E:$E, "Check ID")</f>
        <v>Phone Utilities</v>
      </c>
      <c r="E417" s="12" t="s">
        <v>336</v>
      </c>
      <c r="F417" s="14">
        <v>59</v>
      </c>
    </row>
    <row r="418" spans="1:6" x14ac:dyDescent="0.3">
      <c r="A418" s="9">
        <v>45954</v>
      </c>
      <c r="B418" s="10" t="s">
        <v>252</v>
      </c>
      <c r="C418" s="11">
        <v>816</v>
      </c>
      <c r="D418" s="10" t="str">
        <f>_xlfn.XLOOKUP(C418, Mapping!$C:$C, Mapping!$E:$E, "Check ID")</f>
        <v>Saving Account</v>
      </c>
      <c r="E418" s="12" t="s">
        <v>336</v>
      </c>
      <c r="F418" s="14">
        <v>6500</v>
      </c>
    </row>
    <row r="419" spans="1:6" x14ac:dyDescent="0.3">
      <c r="A419" s="9">
        <v>45960</v>
      </c>
      <c r="B419" s="10" t="s">
        <v>252</v>
      </c>
      <c r="C419" s="11">
        <v>6170</v>
      </c>
      <c r="D419" s="10" t="str">
        <f>_xlfn.XLOOKUP(C419, Mapping!$C:$C, Mapping!$E:$E, "Check ID")</f>
        <v>Transfer</v>
      </c>
      <c r="E419" s="12" t="s">
        <v>336</v>
      </c>
      <c r="F419" s="14">
        <v>10015</v>
      </c>
    </row>
    <row r="420" spans="1:6" x14ac:dyDescent="0.3">
      <c r="A420" s="9">
        <v>45960</v>
      </c>
      <c r="B420" s="10" t="s">
        <v>252</v>
      </c>
      <c r="C420" s="11">
        <v>4690</v>
      </c>
      <c r="D420" s="10" t="str">
        <f>_xlfn.XLOOKUP(C420, Mapping!$C:$C, Mapping!$E:$E, "Check ID")</f>
        <v>Terra Transfer</v>
      </c>
      <c r="E420" s="12" t="s">
        <v>336</v>
      </c>
      <c r="F420" s="14">
        <v>690</v>
      </c>
    </row>
    <row r="421" spans="1:6" x14ac:dyDescent="0.3">
      <c r="A421" s="9">
        <v>45961</v>
      </c>
      <c r="B421" s="10" t="s">
        <v>252</v>
      </c>
      <c r="C421" s="11">
        <v>1059</v>
      </c>
      <c r="D421" s="10" t="str">
        <f>_xlfn.XLOOKUP(C421, Mapping!$C:$C, Mapping!$E:$E, "Check ID")</f>
        <v>Phone Utilities</v>
      </c>
      <c r="E421" s="12" t="s">
        <v>336</v>
      </c>
      <c r="F421" s="14">
        <v>181</v>
      </c>
    </row>
    <row r="422" spans="1:6" x14ac:dyDescent="0.3">
      <c r="A422" s="9">
        <v>45931</v>
      </c>
      <c r="B422" s="10" t="s">
        <v>252</v>
      </c>
      <c r="C422" s="11">
        <v>8758</v>
      </c>
      <c r="D422" s="10" t="str">
        <f>_xlfn.XLOOKUP(C422, Mapping!$C:$C, Mapping!$E:$E, "Check ID")</f>
        <v>Transfer</v>
      </c>
      <c r="E422" s="12" t="s">
        <v>337</v>
      </c>
      <c r="F422" s="14">
        <v>1250</v>
      </c>
    </row>
    <row r="423" spans="1:6" x14ac:dyDescent="0.3">
      <c r="A423" s="9">
        <v>45931</v>
      </c>
      <c r="B423" s="10" t="s">
        <v>252</v>
      </c>
      <c r="C423" s="11">
        <v>6119</v>
      </c>
      <c r="D423" s="10" t="str">
        <f>_xlfn.XLOOKUP(C423, Mapping!$C:$C, Mapping!$E:$E, "Check ID")</f>
        <v>Transfer</v>
      </c>
      <c r="E423" s="12" t="s">
        <v>337</v>
      </c>
      <c r="F423" s="14">
        <v>500</v>
      </c>
    </row>
    <row r="424" spans="1:6" x14ac:dyDescent="0.3">
      <c r="A424" s="9">
        <v>45931</v>
      </c>
      <c r="B424" s="10" t="s">
        <v>252</v>
      </c>
      <c r="C424" s="11">
        <v>1862</v>
      </c>
      <c r="D424" s="10" t="str">
        <f>_xlfn.XLOOKUP(C424, Mapping!$C:$C, Mapping!$E:$E, "Check ID")</f>
        <v>Transfer</v>
      </c>
      <c r="E424" s="12" t="s">
        <v>337</v>
      </c>
      <c r="F424" s="14">
        <v>2500</v>
      </c>
    </row>
    <row r="425" spans="1:6" x14ac:dyDescent="0.3">
      <c r="A425" s="9">
        <v>45931</v>
      </c>
      <c r="B425" s="10" t="s">
        <v>252</v>
      </c>
      <c r="C425" s="11">
        <v>5763</v>
      </c>
      <c r="D425" s="10" t="str">
        <f>_xlfn.XLOOKUP(C425, Mapping!$C:$C, Mapping!$E:$E, "Check ID")</f>
        <v>Transfer</v>
      </c>
      <c r="E425" s="12" t="s">
        <v>337</v>
      </c>
      <c r="F425" s="14">
        <v>3600</v>
      </c>
    </row>
    <row r="426" spans="1:6" x14ac:dyDescent="0.3">
      <c r="A426" s="9">
        <v>45931</v>
      </c>
      <c r="B426" s="10" t="s">
        <v>252</v>
      </c>
      <c r="C426" s="11">
        <v>4016</v>
      </c>
      <c r="D426" s="10" t="str">
        <f>_xlfn.XLOOKUP(C426, Mapping!$C:$C, Mapping!$E:$E, "Check ID")</f>
        <v>Transfer</v>
      </c>
      <c r="E426" s="12" t="s">
        <v>337</v>
      </c>
      <c r="F426" s="14">
        <v>2000</v>
      </c>
    </row>
    <row r="427" spans="1:6" x14ac:dyDescent="0.3">
      <c r="A427" s="9">
        <v>45934</v>
      </c>
      <c r="B427" s="10" t="s">
        <v>252</v>
      </c>
      <c r="C427" s="11">
        <v>6119</v>
      </c>
      <c r="D427" s="10" t="str">
        <f>_xlfn.XLOOKUP(C427, Mapping!$C:$C, Mapping!$E:$E, "Check ID")</f>
        <v>Transfer</v>
      </c>
      <c r="E427" s="12" t="s">
        <v>337</v>
      </c>
      <c r="F427" s="14">
        <v>500</v>
      </c>
    </row>
    <row r="428" spans="1:6" x14ac:dyDescent="0.3">
      <c r="A428" s="9">
        <v>45935</v>
      </c>
      <c r="B428" s="10" t="s">
        <v>252</v>
      </c>
      <c r="C428" s="11">
        <v>7261</v>
      </c>
      <c r="D428" s="10" t="str">
        <f>_xlfn.XLOOKUP(C428, Mapping!$C:$C, Mapping!$E:$E, "Check ID")</f>
        <v>Transfer</v>
      </c>
      <c r="E428" s="12" t="s">
        <v>337</v>
      </c>
      <c r="F428" s="14">
        <v>1920</v>
      </c>
    </row>
    <row r="429" spans="1:6" x14ac:dyDescent="0.3">
      <c r="A429" s="9">
        <v>45936</v>
      </c>
      <c r="B429" s="10" t="s">
        <v>252</v>
      </c>
      <c r="C429" s="11">
        <v>7276</v>
      </c>
      <c r="D429" s="10" t="str">
        <f>_xlfn.XLOOKUP(C429, Mapping!$C:$C, Mapping!$E:$E, "Check ID")</f>
        <v>Transfer</v>
      </c>
      <c r="E429" s="12" t="s">
        <v>337</v>
      </c>
      <c r="F429" s="14">
        <v>2000</v>
      </c>
    </row>
    <row r="430" spans="1:6" x14ac:dyDescent="0.3">
      <c r="A430" s="9">
        <v>45937</v>
      </c>
      <c r="B430" s="10" t="s">
        <v>252</v>
      </c>
      <c r="C430" s="11">
        <v>834</v>
      </c>
      <c r="D430" s="10" t="str">
        <f>_xlfn.XLOOKUP(C430, Mapping!$C:$C, Mapping!$E:$E, "Check ID")</f>
        <v>Transfer</v>
      </c>
      <c r="E430" s="12" t="s">
        <v>337</v>
      </c>
      <c r="F430" s="14">
        <v>1000</v>
      </c>
    </row>
    <row r="431" spans="1:6" x14ac:dyDescent="0.3">
      <c r="A431" s="9">
        <v>45942</v>
      </c>
      <c r="B431" s="10" t="s">
        <v>252</v>
      </c>
      <c r="C431" s="11">
        <v>6406</v>
      </c>
      <c r="D431" s="10" t="str">
        <f>_xlfn.XLOOKUP(C431, Mapping!$C:$C, Mapping!$E:$E, "Check ID")</f>
        <v>Transfer</v>
      </c>
      <c r="E431" s="12" t="s">
        <v>337</v>
      </c>
      <c r="F431" s="14">
        <v>1800</v>
      </c>
    </row>
    <row r="432" spans="1:6" x14ac:dyDescent="0.3">
      <c r="A432" s="9">
        <v>45942</v>
      </c>
      <c r="B432" s="10" t="s">
        <v>252</v>
      </c>
      <c r="C432" s="11" t="s">
        <v>7</v>
      </c>
      <c r="D432" s="10" t="str">
        <f>_xlfn.XLOOKUP(C432, Mapping!$C:$C, Mapping!$E:$E, "Check ID")</f>
        <v>Cash_In</v>
      </c>
      <c r="E432" s="12" t="s">
        <v>337</v>
      </c>
      <c r="F432" s="14">
        <v>4000</v>
      </c>
    </row>
    <row r="433" spans="1:6" x14ac:dyDescent="0.3">
      <c r="A433" s="9">
        <v>45943</v>
      </c>
      <c r="B433" s="10" t="s">
        <v>252</v>
      </c>
      <c r="C433" s="11">
        <v>5763</v>
      </c>
      <c r="D433" s="10" t="str">
        <f>_xlfn.XLOOKUP(C433, Mapping!$C:$C, Mapping!$E:$E, "Check ID")</f>
        <v>Transfer</v>
      </c>
      <c r="E433" s="12" t="s">
        <v>337</v>
      </c>
      <c r="F433" s="14">
        <v>3600</v>
      </c>
    </row>
    <row r="434" spans="1:6" x14ac:dyDescent="0.3">
      <c r="A434" s="9">
        <v>45945</v>
      </c>
      <c r="B434" s="10" t="s">
        <v>252</v>
      </c>
      <c r="C434" s="11">
        <v>4530</v>
      </c>
      <c r="D434" s="10" t="str">
        <f>_xlfn.XLOOKUP(C434, Mapping!$C:$C, Mapping!$E:$E, "Check ID")</f>
        <v>Saving Account</v>
      </c>
      <c r="E434" s="12" t="s">
        <v>337</v>
      </c>
      <c r="F434" s="14">
        <v>11500</v>
      </c>
    </row>
    <row r="435" spans="1:6" x14ac:dyDescent="0.3">
      <c r="A435" s="9">
        <v>45945</v>
      </c>
      <c r="B435" s="10" t="s">
        <v>252</v>
      </c>
      <c r="C435" s="11">
        <v>295</v>
      </c>
      <c r="D435" s="10" t="str">
        <f>_xlfn.XLOOKUP(C435, Mapping!$C:$C, Mapping!$E:$E, "Check ID")</f>
        <v>Transfer</v>
      </c>
      <c r="E435" s="12" t="s">
        <v>337</v>
      </c>
      <c r="F435" s="14">
        <v>7600</v>
      </c>
    </row>
    <row r="436" spans="1:6" x14ac:dyDescent="0.3">
      <c r="A436" s="9">
        <v>45946</v>
      </c>
      <c r="B436" s="10" t="s">
        <v>252</v>
      </c>
      <c r="C436" s="11">
        <v>7904</v>
      </c>
      <c r="D436" s="10" t="str">
        <f>_xlfn.XLOOKUP(C436, Mapping!$C:$C, Mapping!$E:$E, "Check ID")</f>
        <v>Transfer</v>
      </c>
      <c r="E436" s="12" t="s">
        <v>337</v>
      </c>
      <c r="F436" s="14">
        <v>2000</v>
      </c>
    </row>
    <row r="437" spans="1:6" x14ac:dyDescent="0.3">
      <c r="A437" s="9">
        <v>45946</v>
      </c>
      <c r="B437" s="10" t="s">
        <v>252</v>
      </c>
      <c r="C437" s="11">
        <v>834</v>
      </c>
      <c r="D437" s="10" t="str">
        <f>_xlfn.XLOOKUP(C437, Mapping!$C:$C, Mapping!$E:$E, "Check ID")</f>
        <v>Transfer</v>
      </c>
      <c r="E437" s="12" t="s">
        <v>337</v>
      </c>
      <c r="F437" s="14">
        <v>500</v>
      </c>
    </row>
    <row r="438" spans="1:6" x14ac:dyDescent="0.3">
      <c r="A438" s="9">
        <v>45949</v>
      </c>
      <c r="B438" s="10" t="s">
        <v>252</v>
      </c>
      <c r="C438" s="11">
        <v>834</v>
      </c>
      <c r="D438" s="10" t="str">
        <f>_xlfn.XLOOKUP(C438, Mapping!$C:$C, Mapping!$E:$E, "Check ID")</f>
        <v>Transfer</v>
      </c>
      <c r="E438" s="12" t="s">
        <v>337</v>
      </c>
      <c r="F438" s="14">
        <v>500</v>
      </c>
    </row>
    <row r="439" spans="1:6" x14ac:dyDescent="0.3">
      <c r="A439" s="9">
        <v>45949</v>
      </c>
      <c r="B439" s="10" t="s">
        <v>252</v>
      </c>
      <c r="C439" s="11">
        <v>7336</v>
      </c>
      <c r="D439" s="10" t="str">
        <f>_xlfn.XLOOKUP(C439, Mapping!$C:$C, Mapping!$E:$E, "Check ID")</f>
        <v>Transfer</v>
      </c>
      <c r="E439" s="12" t="s">
        <v>337</v>
      </c>
      <c r="F439" s="14">
        <v>1400</v>
      </c>
    </row>
    <row r="440" spans="1:6" x14ac:dyDescent="0.3">
      <c r="A440" s="9">
        <v>45950</v>
      </c>
      <c r="B440" s="10" t="s">
        <v>252</v>
      </c>
      <c r="C440" s="11" t="s">
        <v>7</v>
      </c>
      <c r="D440" s="10" t="str">
        <f>_xlfn.XLOOKUP(C440, Mapping!$C:$C, Mapping!$E:$E, "Check ID")</f>
        <v>Cash_In</v>
      </c>
      <c r="E440" s="12" t="s">
        <v>337</v>
      </c>
      <c r="F440" s="14">
        <v>2000</v>
      </c>
    </row>
    <row r="441" spans="1:6" x14ac:dyDescent="0.3">
      <c r="A441" s="9">
        <v>45950</v>
      </c>
      <c r="B441" s="10" t="s">
        <v>252</v>
      </c>
      <c r="C441" s="11">
        <v>4530</v>
      </c>
      <c r="D441" s="10" t="str">
        <f>_xlfn.XLOOKUP(C441, Mapping!$C:$C, Mapping!$E:$E, "Check ID")</f>
        <v>Saving Account</v>
      </c>
      <c r="E441" s="12" t="s">
        <v>337</v>
      </c>
      <c r="F441" s="14">
        <v>2500</v>
      </c>
    </row>
    <row r="442" spans="1:6" x14ac:dyDescent="0.3">
      <c r="A442" s="9">
        <v>45950</v>
      </c>
      <c r="B442" s="10" t="s">
        <v>252</v>
      </c>
      <c r="C442" s="11">
        <v>5854</v>
      </c>
      <c r="D442" s="10" t="str">
        <f>_xlfn.XLOOKUP(C442, Mapping!$C:$C, Mapping!$E:$E, "Check ID")</f>
        <v>Transfer</v>
      </c>
      <c r="E442" s="12" t="s">
        <v>337</v>
      </c>
      <c r="F442" s="14">
        <v>2000</v>
      </c>
    </row>
    <row r="443" spans="1:6" x14ac:dyDescent="0.3">
      <c r="A443" s="9">
        <v>45951</v>
      </c>
      <c r="B443" s="10" t="s">
        <v>252</v>
      </c>
      <c r="C443" s="11">
        <v>5791</v>
      </c>
      <c r="D443" s="10" t="str">
        <f>_xlfn.XLOOKUP(C443, Mapping!$C:$C, Mapping!$E:$E, "Check ID")</f>
        <v>Transfer</v>
      </c>
      <c r="E443" s="12" t="s">
        <v>337</v>
      </c>
      <c r="F443" s="14">
        <v>862</v>
      </c>
    </row>
    <row r="444" spans="1:6" x14ac:dyDescent="0.3">
      <c r="A444" s="9">
        <v>45952</v>
      </c>
      <c r="B444" s="10" t="s">
        <v>252</v>
      </c>
      <c r="C444" s="11">
        <v>5791</v>
      </c>
      <c r="D444" s="10" t="str">
        <f>_xlfn.XLOOKUP(C444, Mapping!$C:$C, Mapping!$E:$E, "Check ID")</f>
        <v>Transfer</v>
      </c>
      <c r="E444" s="12" t="s">
        <v>337</v>
      </c>
      <c r="F444" s="14">
        <v>1000</v>
      </c>
    </row>
    <row r="445" spans="1:6" x14ac:dyDescent="0.3">
      <c r="A445" s="9">
        <v>45954</v>
      </c>
      <c r="B445" s="10" t="s">
        <v>252</v>
      </c>
      <c r="C445" s="11" t="s">
        <v>7</v>
      </c>
      <c r="D445" s="10" t="str">
        <f>_xlfn.XLOOKUP(C445, Mapping!$C:$C, Mapping!$E:$E, "Check ID")</f>
        <v>Cash_In</v>
      </c>
      <c r="E445" s="12" t="s">
        <v>337</v>
      </c>
      <c r="F445" s="14">
        <v>4500</v>
      </c>
    </row>
    <row r="446" spans="1:6" x14ac:dyDescent="0.3">
      <c r="A446" s="9">
        <v>45958</v>
      </c>
      <c r="B446" s="10" t="s">
        <v>252</v>
      </c>
      <c r="C446" s="11">
        <v>5763</v>
      </c>
      <c r="D446" s="10" t="str">
        <f>_xlfn.XLOOKUP(C446, Mapping!$C:$C, Mapping!$E:$E, "Check ID")</f>
        <v>Transfer</v>
      </c>
      <c r="E446" s="12" t="s">
        <v>337</v>
      </c>
      <c r="F446" s="14">
        <v>3600</v>
      </c>
    </row>
    <row r="447" spans="1:6" x14ac:dyDescent="0.3">
      <c r="A447" s="9">
        <v>45960</v>
      </c>
      <c r="B447" s="10" t="s">
        <v>252</v>
      </c>
      <c r="C447" s="11">
        <v>6170</v>
      </c>
      <c r="D447" s="10" t="str">
        <f>_xlfn.XLOOKUP(C447, Mapping!$C:$C, Mapping!$E:$E, "Check ID")</f>
        <v>Transfer</v>
      </c>
      <c r="E447" s="12" t="s">
        <v>337</v>
      </c>
      <c r="F447" s="14">
        <v>2000</v>
      </c>
    </row>
    <row r="448" spans="1:6" x14ac:dyDescent="0.3">
      <c r="A448" s="9">
        <v>45960</v>
      </c>
      <c r="B448" s="10" t="s">
        <v>252</v>
      </c>
      <c r="C448" s="11">
        <v>4530</v>
      </c>
      <c r="D448" s="10" t="str">
        <f>_xlfn.XLOOKUP(C448, Mapping!$C:$C, Mapping!$E:$E, "Check ID")</f>
        <v>Saving Account</v>
      </c>
      <c r="E448" s="12" t="s">
        <v>337</v>
      </c>
      <c r="F448" s="14">
        <v>4000</v>
      </c>
    </row>
    <row r="449" spans="1:6" x14ac:dyDescent="0.3">
      <c r="A449" s="9">
        <v>45960</v>
      </c>
      <c r="B449" s="10" t="s">
        <v>252</v>
      </c>
      <c r="C449" s="11" t="s">
        <v>53</v>
      </c>
      <c r="D449" s="10" t="str">
        <f>_xlfn.XLOOKUP(C449, Mapping!$C:$C, Mapping!$E:$E, "Check ID")</f>
        <v>Transfer</v>
      </c>
      <c r="E449" s="12" t="s">
        <v>337</v>
      </c>
      <c r="F449" s="14">
        <v>2000</v>
      </c>
    </row>
    <row r="450" spans="1:6" x14ac:dyDescent="0.3">
      <c r="A450" s="9">
        <v>45961</v>
      </c>
      <c r="B450" s="10" t="s">
        <v>252</v>
      </c>
      <c r="C450" s="11">
        <v>6119</v>
      </c>
      <c r="D450" s="10" t="str">
        <f>_xlfn.XLOOKUP(C450, Mapping!$C:$C, Mapping!$E:$E, "Check ID")</f>
        <v>Transfer</v>
      </c>
      <c r="E450" s="12" t="s">
        <v>337</v>
      </c>
      <c r="F450" s="14">
        <v>600</v>
      </c>
    </row>
    <row r="451" spans="1:6" x14ac:dyDescent="0.3">
      <c r="A451" s="9">
        <v>45961</v>
      </c>
      <c r="B451" s="10" t="s">
        <v>252</v>
      </c>
      <c r="C451" s="11">
        <v>7904</v>
      </c>
      <c r="D451" s="10" t="str">
        <f>_xlfn.XLOOKUP(C451, Mapping!$C:$C, Mapping!$E:$E, "Check ID")</f>
        <v>Transfer</v>
      </c>
      <c r="E451" s="12" t="s">
        <v>337</v>
      </c>
      <c r="F451" s="14">
        <v>1500</v>
      </c>
    </row>
    <row r="452" spans="1:6" x14ac:dyDescent="0.3">
      <c r="A452" s="9">
        <v>45962</v>
      </c>
      <c r="B452" s="10" t="s">
        <v>256</v>
      </c>
      <c r="C452" s="11">
        <v>816</v>
      </c>
      <c r="D452" s="10" t="str">
        <f>_xlfn.XLOOKUP(C452, Mapping!$C:$C, Mapping!$E:$E, "Check ID")</f>
        <v>Saving Account</v>
      </c>
      <c r="E452" s="12" t="s">
        <v>336</v>
      </c>
      <c r="F452" s="13">
        <v>14515</v>
      </c>
    </row>
    <row r="453" spans="1:6" x14ac:dyDescent="0.3">
      <c r="A453" s="9">
        <v>45966</v>
      </c>
      <c r="B453" s="10" t="s">
        <v>256</v>
      </c>
      <c r="C453" s="11">
        <v>4969</v>
      </c>
      <c r="D453" s="10" t="str">
        <f>_xlfn.XLOOKUP(C453, Mapping!$C:$C, Mapping!$E:$E, "Check ID")</f>
        <v>Phone Utilities</v>
      </c>
      <c r="E453" s="12" t="s">
        <v>336</v>
      </c>
      <c r="F453" s="13">
        <v>21</v>
      </c>
    </row>
    <row r="454" spans="1:6" x14ac:dyDescent="0.3">
      <c r="A454" s="9">
        <v>45966</v>
      </c>
      <c r="B454" s="10" t="s">
        <v>256</v>
      </c>
      <c r="C454" s="11">
        <v>4332</v>
      </c>
      <c r="D454" s="10" t="str">
        <f>_xlfn.XLOOKUP(C454, Mapping!$C:$C, Mapping!$E:$E, "Check ID")</f>
        <v>Undisclosed</v>
      </c>
      <c r="E454" s="12" t="s">
        <v>336</v>
      </c>
      <c r="F454" s="13">
        <v>330</v>
      </c>
    </row>
    <row r="455" spans="1:6" x14ac:dyDescent="0.3">
      <c r="A455" s="9">
        <v>45971</v>
      </c>
      <c r="B455" s="10" t="s">
        <v>256</v>
      </c>
      <c r="C455" s="11">
        <v>4709</v>
      </c>
      <c r="D455" s="10" t="str">
        <f>_xlfn.XLOOKUP(C455, Mapping!$C:$C, Mapping!$E:$E, "Check ID")</f>
        <v>Undisclosed</v>
      </c>
      <c r="E455" s="12" t="s">
        <v>336</v>
      </c>
      <c r="F455" s="13">
        <v>270</v>
      </c>
    </row>
    <row r="456" spans="1:6" x14ac:dyDescent="0.3">
      <c r="A456" s="9">
        <v>45972</v>
      </c>
      <c r="B456" s="10" t="s">
        <v>256</v>
      </c>
      <c r="C456" s="11" t="s">
        <v>114</v>
      </c>
      <c r="D456" s="10" t="str">
        <f>_xlfn.XLOOKUP(C456, Mapping!$C:$C, Mapping!$E:$E, "Check ID")</f>
        <v>Subscription</v>
      </c>
      <c r="E456" s="12" t="s">
        <v>336</v>
      </c>
      <c r="F456" s="13">
        <v>239</v>
      </c>
    </row>
    <row r="457" spans="1:6" x14ac:dyDescent="0.3">
      <c r="A457" s="9">
        <v>45972</v>
      </c>
      <c r="B457" s="10" t="s">
        <v>256</v>
      </c>
      <c r="C457" s="11" t="s">
        <v>123</v>
      </c>
      <c r="D457" s="10" t="str">
        <f>_xlfn.XLOOKUP(C457, Mapping!$C:$C, Mapping!$E:$E, "Check ID")</f>
        <v>Debt</v>
      </c>
      <c r="E457" s="12" t="s">
        <v>336</v>
      </c>
      <c r="F457" s="13">
        <v>5259.37</v>
      </c>
    </row>
    <row r="458" spans="1:6" x14ac:dyDescent="0.3">
      <c r="A458" s="9">
        <v>45974</v>
      </c>
      <c r="B458" s="10" t="s">
        <v>256</v>
      </c>
      <c r="C458" s="11">
        <v>3037</v>
      </c>
      <c r="D458" s="10" t="str">
        <f>_xlfn.XLOOKUP(C458, Mapping!$C:$C, Mapping!$E:$E, "Check ID")</f>
        <v>Beverage</v>
      </c>
      <c r="E458" s="12" t="s">
        <v>336</v>
      </c>
      <c r="F458" s="13">
        <v>1080</v>
      </c>
    </row>
    <row r="459" spans="1:6" x14ac:dyDescent="0.3">
      <c r="A459" s="9">
        <v>45975</v>
      </c>
      <c r="B459" s="10" t="s">
        <v>256</v>
      </c>
      <c r="C459" s="11">
        <v>1059</v>
      </c>
      <c r="D459" s="10" t="str">
        <f>_xlfn.XLOOKUP(C459, Mapping!$C:$C, Mapping!$E:$E, "Check ID")</f>
        <v>Phone Utilities</v>
      </c>
      <c r="E459" s="12" t="s">
        <v>336</v>
      </c>
      <c r="F459" s="13">
        <v>181</v>
      </c>
    </row>
    <row r="460" spans="1:6" x14ac:dyDescent="0.3">
      <c r="A460" s="9">
        <v>45977</v>
      </c>
      <c r="B460" s="10" t="s">
        <v>256</v>
      </c>
      <c r="C460" s="11">
        <v>816</v>
      </c>
      <c r="D460" s="10" t="str">
        <f>_xlfn.XLOOKUP(C460, Mapping!$C:$C, Mapping!$E:$E, "Check ID")</f>
        <v>Saving Account</v>
      </c>
      <c r="E460" s="12" t="s">
        <v>336</v>
      </c>
      <c r="F460" s="13">
        <v>20015</v>
      </c>
    </row>
    <row r="461" spans="1:6" x14ac:dyDescent="0.3">
      <c r="A461" s="9">
        <v>45983</v>
      </c>
      <c r="B461" s="10" t="s">
        <v>256</v>
      </c>
      <c r="C461" s="11">
        <v>816</v>
      </c>
      <c r="D461" s="10" t="str">
        <f>_xlfn.XLOOKUP(C461, Mapping!$C:$C, Mapping!$E:$E, "Check ID")</f>
        <v>Saving Account</v>
      </c>
      <c r="E461" s="12" t="s">
        <v>336</v>
      </c>
      <c r="F461" s="13">
        <v>9015</v>
      </c>
    </row>
    <row r="462" spans="1:6" x14ac:dyDescent="0.3">
      <c r="A462" s="9">
        <v>45986</v>
      </c>
      <c r="B462" s="10" t="s">
        <v>256</v>
      </c>
      <c r="C462" s="11">
        <v>7018</v>
      </c>
      <c r="D462" s="10" t="str">
        <f>_xlfn.XLOOKUP(C462, Mapping!$C:$C, Mapping!$E:$E, "Check ID")</f>
        <v>Undisclosed</v>
      </c>
      <c r="E462" s="12" t="s">
        <v>336</v>
      </c>
      <c r="F462" s="13">
        <v>660</v>
      </c>
    </row>
    <row r="463" spans="1:6" x14ac:dyDescent="0.3">
      <c r="A463" s="9">
        <v>45989</v>
      </c>
      <c r="B463" s="10" t="s">
        <v>256</v>
      </c>
      <c r="C463" s="11" t="s">
        <v>100</v>
      </c>
      <c r="D463" s="10" t="str">
        <f>_xlfn.XLOOKUP(C463, Mapping!$C:$C, Mapping!$E:$E, "Check ID")</f>
        <v>Government</v>
      </c>
      <c r="E463" s="12" t="s">
        <v>336</v>
      </c>
      <c r="F463" s="13">
        <v>160</v>
      </c>
    </row>
    <row r="464" spans="1:6" x14ac:dyDescent="0.3">
      <c r="A464" s="9">
        <v>45989</v>
      </c>
      <c r="B464" s="10" t="s">
        <v>256</v>
      </c>
      <c r="C464" s="11" t="s">
        <v>144</v>
      </c>
      <c r="D464" s="10" t="str">
        <f>_xlfn.XLOOKUP(C464, Mapping!$C:$C, Mapping!$E:$E, "Check ID")</f>
        <v>Government</v>
      </c>
      <c r="E464" s="12" t="s">
        <v>336</v>
      </c>
      <c r="F464" s="13">
        <v>1956.51</v>
      </c>
    </row>
    <row r="465" spans="1:6" x14ac:dyDescent="0.3">
      <c r="A465" s="9">
        <v>45989</v>
      </c>
      <c r="B465" s="10" t="s">
        <v>256</v>
      </c>
      <c r="C465" s="11" t="s">
        <v>6</v>
      </c>
      <c r="D465" s="10" t="str">
        <f>_xlfn.XLOOKUP(C465, Mapping!$C:$C, Mapping!$E:$E, "Check ID")</f>
        <v>Government</v>
      </c>
      <c r="E465" s="12" t="s">
        <v>336</v>
      </c>
      <c r="F465" s="13">
        <v>8505</v>
      </c>
    </row>
    <row r="466" spans="1:6" x14ac:dyDescent="0.3">
      <c r="A466" s="9">
        <v>45991</v>
      </c>
      <c r="B466" s="10" t="s">
        <v>256</v>
      </c>
      <c r="C466" s="11" t="s">
        <v>112</v>
      </c>
      <c r="D466" s="10" t="str">
        <f>_xlfn.XLOOKUP(C466, Mapping!$C:$C, Mapping!$E:$E, "Check ID")</f>
        <v>Toll Fee</v>
      </c>
      <c r="E466" s="12" t="s">
        <v>336</v>
      </c>
      <c r="F466" s="13">
        <v>1012</v>
      </c>
    </row>
    <row r="467" spans="1:6" x14ac:dyDescent="0.3">
      <c r="A467" s="9">
        <v>45991</v>
      </c>
      <c r="B467" s="10" t="s">
        <v>256</v>
      </c>
      <c r="C467" s="11">
        <v>7261</v>
      </c>
      <c r="D467" s="10" t="str">
        <f>_xlfn.XLOOKUP(C467, Mapping!$C:$C, Mapping!$E:$E, "Check ID")</f>
        <v>Transfer</v>
      </c>
      <c r="E467" s="12" t="s">
        <v>336</v>
      </c>
      <c r="F467" s="13">
        <v>5000</v>
      </c>
    </row>
    <row r="468" spans="1:6" x14ac:dyDescent="0.3">
      <c r="A468" s="9">
        <v>45991</v>
      </c>
      <c r="B468" s="10" t="s">
        <v>256</v>
      </c>
      <c r="C468" s="11">
        <v>5763</v>
      </c>
      <c r="D468" s="10" t="str">
        <f>_xlfn.XLOOKUP(C468, Mapping!$C:$C, Mapping!$E:$E, "Check ID")</f>
        <v>Transfer</v>
      </c>
      <c r="E468" s="12" t="s">
        <v>336</v>
      </c>
      <c r="F468" s="13">
        <v>18000</v>
      </c>
    </row>
    <row r="469" spans="1:6" x14ac:dyDescent="0.3">
      <c r="A469" s="9">
        <v>45991</v>
      </c>
      <c r="B469" s="10" t="s">
        <v>256</v>
      </c>
      <c r="C469" s="11">
        <v>453</v>
      </c>
      <c r="D469" s="10" t="str">
        <f>_xlfn.XLOOKUP(C469, Mapping!$C:$C, Mapping!$E:$E, "Check ID")</f>
        <v>Undisclosed</v>
      </c>
      <c r="E469" s="12" t="s">
        <v>336</v>
      </c>
      <c r="F469" s="13">
        <v>2500</v>
      </c>
    </row>
    <row r="470" spans="1:6" x14ac:dyDescent="0.3">
      <c r="A470" s="9">
        <v>45962</v>
      </c>
      <c r="B470" s="10" t="s">
        <v>256</v>
      </c>
      <c r="C470" s="11">
        <v>7336</v>
      </c>
      <c r="D470" s="10" t="str">
        <f>_xlfn.XLOOKUP(C470, Mapping!$C:$C, Mapping!$E:$E, "Check ID")</f>
        <v>Transfer</v>
      </c>
      <c r="E470" s="12" t="s">
        <v>337</v>
      </c>
      <c r="F470" s="14">
        <v>1300</v>
      </c>
    </row>
    <row r="471" spans="1:6" x14ac:dyDescent="0.3">
      <c r="A471" s="9">
        <v>45965</v>
      </c>
      <c r="B471" s="10" t="s">
        <v>256</v>
      </c>
      <c r="C471" s="11">
        <v>5075</v>
      </c>
      <c r="D471" s="10" t="str">
        <f>_xlfn.XLOOKUP(C471, Mapping!$C:$C, Mapping!$E:$E, "Check ID")</f>
        <v>Transfer</v>
      </c>
      <c r="E471" s="12" t="s">
        <v>337</v>
      </c>
      <c r="F471" s="13">
        <v>3000</v>
      </c>
    </row>
    <row r="472" spans="1:6" x14ac:dyDescent="0.3">
      <c r="A472" s="9">
        <v>45966</v>
      </c>
      <c r="B472" s="10" t="s">
        <v>256</v>
      </c>
      <c r="C472" s="11">
        <v>6406</v>
      </c>
      <c r="D472" s="10" t="str">
        <f>_xlfn.XLOOKUP(C472, Mapping!$C:$C, Mapping!$E:$E, "Check ID")</f>
        <v>Transfer</v>
      </c>
      <c r="E472" s="12" t="s">
        <v>337</v>
      </c>
      <c r="F472" s="13">
        <v>1800</v>
      </c>
    </row>
    <row r="473" spans="1:6" x14ac:dyDescent="0.3">
      <c r="A473" s="9">
        <v>45967</v>
      </c>
      <c r="B473" s="10" t="s">
        <v>256</v>
      </c>
      <c r="C473" s="11">
        <v>6119</v>
      </c>
      <c r="D473" s="10" t="str">
        <f>_xlfn.XLOOKUP(C473, Mapping!$C:$C, Mapping!$E:$E, "Check ID")</f>
        <v>Transfer</v>
      </c>
      <c r="E473" s="12" t="s">
        <v>337</v>
      </c>
      <c r="F473" s="13">
        <v>600</v>
      </c>
    </row>
    <row r="474" spans="1:6" x14ac:dyDescent="0.3">
      <c r="A474" s="9">
        <v>45967</v>
      </c>
      <c r="B474" s="10" t="s">
        <v>256</v>
      </c>
      <c r="C474" s="11">
        <v>4016</v>
      </c>
      <c r="D474" s="10" t="str">
        <f>_xlfn.XLOOKUP(C474, Mapping!$C:$C, Mapping!$E:$E, "Check ID")</f>
        <v>Transfer</v>
      </c>
      <c r="E474" s="12" t="s">
        <v>337</v>
      </c>
      <c r="F474" s="13">
        <v>2000</v>
      </c>
    </row>
    <row r="475" spans="1:6" x14ac:dyDescent="0.3">
      <c r="A475" s="9">
        <v>45975</v>
      </c>
      <c r="B475" s="10" t="s">
        <v>256</v>
      </c>
      <c r="C475" s="11">
        <v>295</v>
      </c>
      <c r="D475" s="10" t="str">
        <f>_xlfn.XLOOKUP(C475, Mapping!$C:$C, Mapping!$E:$E, "Check ID")</f>
        <v>Transfer</v>
      </c>
      <c r="E475" s="12" t="s">
        <v>337</v>
      </c>
      <c r="F475" s="13">
        <v>6800</v>
      </c>
    </row>
    <row r="476" spans="1:6" x14ac:dyDescent="0.3">
      <c r="A476" s="9">
        <v>45975</v>
      </c>
      <c r="B476" s="10" t="s">
        <v>256</v>
      </c>
      <c r="C476" s="11">
        <v>5763</v>
      </c>
      <c r="D476" s="10" t="str">
        <f>_xlfn.XLOOKUP(C476, Mapping!$C:$C, Mapping!$E:$E, "Check ID")</f>
        <v>Transfer</v>
      </c>
      <c r="E476" s="12" t="s">
        <v>337</v>
      </c>
      <c r="F476" s="13">
        <v>3600</v>
      </c>
    </row>
    <row r="477" spans="1:6" x14ac:dyDescent="0.3">
      <c r="A477" s="9">
        <v>45976</v>
      </c>
      <c r="B477" s="10" t="s">
        <v>256</v>
      </c>
      <c r="C477" s="11">
        <v>0</v>
      </c>
      <c r="D477" s="10" t="str">
        <f>_xlfn.XLOOKUP(C477, Mapping!$C:$C, Mapping!$E:$E, "Check ID")</f>
        <v>Transfer</v>
      </c>
      <c r="E477" s="12" t="s">
        <v>337</v>
      </c>
      <c r="F477" s="13">
        <v>4000</v>
      </c>
    </row>
    <row r="478" spans="1:6" x14ac:dyDescent="0.3">
      <c r="A478" s="9">
        <v>45975</v>
      </c>
      <c r="B478" s="10" t="s">
        <v>256</v>
      </c>
      <c r="C478" s="11">
        <v>0</v>
      </c>
      <c r="D478" s="10" t="str">
        <f>_xlfn.XLOOKUP(C478, Mapping!$C:$C, Mapping!$E:$E, "Check ID")</f>
        <v>Transfer</v>
      </c>
      <c r="E478" s="12" t="s">
        <v>337</v>
      </c>
      <c r="F478" s="13">
        <v>1999.8</v>
      </c>
    </row>
    <row r="479" spans="1:6" x14ac:dyDescent="0.3">
      <c r="A479" s="9">
        <v>45977</v>
      </c>
      <c r="B479" s="10" t="s">
        <v>256</v>
      </c>
      <c r="C479" s="11">
        <v>6406</v>
      </c>
      <c r="D479" s="10" t="str">
        <f>_xlfn.XLOOKUP(C479, Mapping!$C:$C, Mapping!$E:$E, "Check ID")</f>
        <v>Transfer</v>
      </c>
      <c r="E479" s="12" t="s">
        <v>337</v>
      </c>
      <c r="F479" s="13">
        <v>3600</v>
      </c>
    </row>
    <row r="480" spans="1:6" x14ac:dyDescent="0.3">
      <c r="A480" s="9">
        <v>45977</v>
      </c>
      <c r="B480" s="10" t="s">
        <v>256</v>
      </c>
      <c r="C480" s="11" t="s">
        <v>7</v>
      </c>
      <c r="D480" s="10" t="str">
        <f>_xlfn.XLOOKUP(C480, Mapping!$C:$C, Mapping!$E:$E, "Check ID")</f>
        <v>Cash_In</v>
      </c>
      <c r="E480" s="12" t="s">
        <v>337</v>
      </c>
      <c r="F480" s="13">
        <v>8000</v>
      </c>
    </row>
    <row r="481" spans="1:6" x14ac:dyDescent="0.3">
      <c r="A481" s="9">
        <v>45978</v>
      </c>
      <c r="B481" s="10" t="s">
        <v>256</v>
      </c>
      <c r="C481" s="11">
        <v>834</v>
      </c>
      <c r="D481" s="10" t="str">
        <f>_xlfn.XLOOKUP(C481, Mapping!$C:$C, Mapping!$E:$E, "Check ID")</f>
        <v>Transfer</v>
      </c>
      <c r="E481" s="12" t="s">
        <v>337</v>
      </c>
      <c r="F481" s="13">
        <v>1000</v>
      </c>
    </row>
    <row r="482" spans="1:6" x14ac:dyDescent="0.3">
      <c r="A482" s="9">
        <v>45978</v>
      </c>
      <c r="B482" s="10" t="s">
        <v>256</v>
      </c>
      <c r="C482" s="11">
        <v>1773</v>
      </c>
      <c r="D482" s="10" t="str">
        <f>_xlfn.XLOOKUP(C482, Mapping!$C:$C, Mapping!$E:$E, "Check ID")</f>
        <v>Transfer</v>
      </c>
      <c r="E482" s="12" t="s">
        <v>337</v>
      </c>
      <c r="F482" s="13">
        <v>4500</v>
      </c>
    </row>
    <row r="483" spans="1:6" x14ac:dyDescent="0.3">
      <c r="A483" s="9">
        <v>45981</v>
      </c>
      <c r="B483" s="10" t="s">
        <v>256</v>
      </c>
      <c r="C483" s="11">
        <v>7276</v>
      </c>
      <c r="D483" s="10" t="str">
        <f>_xlfn.XLOOKUP(C483, Mapping!$C:$C, Mapping!$E:$E, "Check ID")</f>
        <v>Transfer</v>
      </c>
      <c r="E483" s="12" t="s">
        <v>337</v>
      </c>
      <c r="F483" s="13">
        <v>2000</v>
      </c>
    </row>
    <row r="484" spans="1:6" x14ac:dyDescent="0.3">
      <c r="A484" s="9">
        <v>45981</v>
      </c>
      <c r="B484" s="10" t="s">
        <v>256</v>
      </c>
      <c r="C484" s="11">
        <v>5854</v>
      </c>
      <c r="D484" s="10" t="str">
        <f>_xlfn.XLOOKUP(C484, Mapping!$C:$C, Mapping!$E:$E, "Check ID")</f>
        <v>Transfer</v>
      </c>
      <c r="E484" s="12" t="s">
        <v>337</v>
      </c>
      <c r="F484" s="13">
        <v>1500</v>
      </c>
    </row>
    <row r="485" spans="1:6" x14ac:dyDescent="0.3">
      <c r="A485" s="9">
        <v>45989</v>
      </c>
      <c r="B485" s="10" t="s">
        <v>256</v>
      </c>
      <c r="C485" s="11">
        <v>834</v>
      </c>
      <c r="D485" s="10" t="str">
        <f>_xlfn.XLOOKUP(C485, Mapping!$C:$C, Mapping!$E:$E, "Check ID")</f>
        <v>Transfer</v>
      </c>
      <c r="E485" s="12" t="s">
        <v>337</v>
      </c>
      <c r="F485" s="13">
        <v>1000</v>
      </c>
    </row>
    <row r="486" spans="1:6" x14ac:dyDescent="0.3">
      <c r="A486" s="9">
        <v>45989</v>
      </c>
      <c r="B486" s="10" t="s">
        <v>256</v>
      </c>
      <c r="C486" s="11">
        <v>4530</v>
      </c>
      <c r="D486" s="10" t="str">
        <f>_xlfn.XLOOKUP(C486, Mapping!$C:$C, Mapping!$E:$E, "Check ID")</f>
        <v>Saving Account</v>
      </c>
      <c r="E486" s="12" t="s">
        <v>337</v>
      </c>
      <c r="F486" s="13">
        <v>10000</v>
      </c>
    </row>
    <row r="487" spans="1:6" x14ac:dyDescent="0.3">
      <c r="A487" s="9">
        <v>45989</v>
      </c>
      <c r="B487" s="10" t="s">
        <v>256</v>
      </c>
      <c r="C487" s="11">
        <v>295</v>
      </c>
      <c r="D487" s="10" t="str">
        <f>_xlfn.XLOOKUP(C487, Mapping!$C:$C, Mapping!$E:$E, "Check ID")</f>
        <v>Transfer</v>
      </c>
      <c r="E487" s="12" t="s">
        <v>337</v>
      </c>
      <c r="F487" s="13">
        <v>6800</v>
      </c>
    </row>
    <row r="488" spans="1:6" x14ac:dyDescent="0.3">
      <c r="A488" s="9">
        <v>45991</v>
      </c>
      <c r="B488" s="10" t="s">
        <v>256</v>
      </c>
      <c r="C488" s="11">
        <v>8758</v>
      </c>
      <c r="D488" s="10" t="str">
        <f>_xlfn.XLOOKUP(C488, Mapping!$C:$C, Mapping!$E:$E, "Check ID")</f>
        <v>Transfer</v>
      </c>
      <c r="E488" s="12" t="s">
        <v>337</v>
      </c>
      <c r="F488" s="13">
        <v>2400</v>
      </c>
    </row>
    <row r="489" spans="1:6" x14ac:dyDescent="0.3">
      <c r="A489" s="9">
        <v>45991</v>
      </c>
      <c r="B489" s="10" t="s">
        <v>256</v>
      </c>
      <c r="C489" s="11" t="s">
        <v>53</v>
      </c>
      <c r="D489" s="10" t="str">
        <f>_xlfn.XLOOKUP(C489, Mapping!$C:$C, Mapping!$E:$E, "Check ID")</f>
        <v>Transfer</v>
      </c>
      <c r="E489" s="12" t="s">
        <v>337</v>
      </c>
      <c r="F489" s="13">
        <v>9000</v>
      </c>
    </row>
    <row r="490" spans="1:6" x14ac:dyDescent="0.3">
      <c r="A490" s="9">
        <v>45991</v>
      </c>
      <c r="B490" s="10" t="s">
        <v>256</v>
      </c>
      <c r="C490" s="11">
        <v>5763</v>
      </c>
      <c r="D490" s="10" t="str">
        <f>_xlfn.XLOOKUP(C490, Mapping!$C:$C, Mapping!$E:$E, "Check ID")</f>
        <v>Transfer</v>
      </c>
      <c r="E490" s="12" t="s">
        <v>337</v>
      </c>
      <c r="F490" s="13">
        <v>3600</v>
      </c>
    </row>
    <row r="491" spans="1:6" x14ac:dyDescent="0.3">
      <c r="A491" s="9">
        <v>45992</v>
      </c>
      <c r="B491" s="10" t="s">
        <v>262</v>
      </c>
      <c r="C491" s="11">
        <v>1059</v>
      </c>
      <c r="D491" s="10" t="str">
        <f>_xlfn.XLOOKUP(C491, Mapping!$C:$C, Mapping!$E:$E, "Check ID")</f>
        <v>Phone Utilities</v>
      </c>
      <c r="E491" s="12" t="s">
        <v>336</v>
      </c>
      <c r="F491" s="13">
        <v>181</v>
      </c>
    </row>
    <row r="492" spans="1:6" x14ac:dyDescent="0.3">
      <c r="A492" s="9">
        <v>45992</v>
      </c>
      <c r="B492" s="10" t="s">
        <v>262</v>
      </c>
      <c r="C492" s="11">
        <v>816</v>
      </c>
      <c r="D492" s="10" t="str">
        <f>_xlfn.XLOOKUP(C492, Mapping!$C:$C, Mapping!$E:$E, "Check ID")</f>
        <v>Saving Account</v>
      </c>
      <c r="E492" s="12" t="s">
        <v>336</v>
      </c>
      <c r="F492" s="13">
        <v>11015</v>
      </c>
    </row>
    <row r="493" spans="1:6" x14ac:dyDescent="0.3">
      <c r="A493" s="9">
        <v>45992</v>
      </c>
      <c r="B493" s="10" t="s">
        <v>262</v>
      </c>
      <c r="C493" s="11" t="s">
        <v>112</v>
      </c>
      <c r="D493" s="10" t="str">
        <f>_xlfn.XLOOKUP(C493, Mapping!$C:$C, Mapping!$E:$E, "Check ID")</f>
        <v>Toll Fee</v>
      </c>
      <c r="E493" s="12" t="s">
        <v>336</v>
      </c>
      <c r="F493" s="13">
        <v>212</v>
      </c>
    </row>
    <row r="494" spans="1:6" x14ac:dyDescent="0.3">
      <c r="A494" s="9">
        <v>45993</v>
      </c>
      <c r="B494" s="10" t="s">
        <v>262</v>
      </c>
      <c r="C494" s="11">
        <v>4637</v>
      </c>
      <c r="D494" s="10" t="str">
        <f>_xlfn.XLOOKUP(C494, Mapping!$C:$C, Mapping!$E:$E, "Check ID")</f>
        <v>Transfer</v>
      </c>
      <c r="E494" s="12" t="s">
        <v>336</v>
      </c>
      <c r="F494" s="13">
        <v>11</v>
      </c>
    </row>
    <row r="495" spans="1:6" x14ac:dyDescent="0.3">
      <c r="A495" s="9">
        <v>46002</v>
      </c>
      <c r="B495" s="10" t="s">
        <v>262</v>
      </c>
      <c r="C495" s="11" t="s">
        <v>114</v>
      </c>
      <c r="D495" s="10" t="str">
        <f>_xlfn.XLOOKUP(C495, Mapping!$C:$C, Mapping!$E:$E, "Check ID")</f>
        <v>Subscription</v>
      </c>
      <c r="E495" s="12" t="s">
        <v>336</v>
      </c>
      <c r="F495" s="13">
        <v>239</v>
      </c>
    </row>
    <row r="496" spans="1:6" x14ac:dyDescent="0.3">
      <c r="A496" s="9">
        <v>46002</v>
      </c>
      <c r="B496" s="10" t="s">
        <v>262</v>
      </c>
      <c r="C496" s="11" t="s">
        <v>123</v>
      </c>
      <c r="D496" s="10" t="str">
        <f>_xlfn.XLOOKUP(C496, Mapping!$C:$C, Mapping!$E:$E, "Check ID")</f>
        <v>Debt</v>
      </c>
      <c r="E496" s="12" t="s">
        <v>336</v>
      </c>
      <c r="F496" s="13">
        <v>5259.37</v>
      </c>
    </row>
    <row r="497" spans="1:6" x14ac:dyDescent="0.3">
      <c r="A497" s="9">
        <v>46005</v>
      </c>
      <c r="B497" s="10" t="s">
        <v>262</v>
      </c>
      <c r="C497" s="11" t="s">
        <v>107</v>
      </c>
      <c r="D497" s="10" t="str">
        <f>_xlfn.XLOOKUP(C497, Mapping!$C:$C, Mapping!$E:$E, "Check ID")</f>
        <v>Terra Transfer</v>
      </c>
      <c r="E497" s="12" t="s">
        <v>336</v>
      </c>
      <c r="F497" s="13">
        <v>3270</v>
      </c>
    </row>
    <row r="498" spans="1:6" x14ac:dyDescent="0.3">
      <c r="A498" s="9">
        <v>46007</v>
      </c>
      <c r="B498" s="10" t="s">
        <v>262</v>
      </c>
      <c r="C498" s="11">
        <v>816</v>
      </c>
      <c r="D498" s="10" t="str">
        <f>_xlfn.XLOOKUP(C498, Mapping!$C:$C, Mapping!$E:$E, "Check ID")</f>
        <v>Saving Account</v>
      </c>
      <c r="E498" s="12" t="s">
        <v>336</v>
      </c>
      <c r="F498" s="13">
        <v>16015</v>
      </c>
    </row>
    <row r="499" spans="1:6" x14ac:dyDescent="0.3">
      <c r="A499" s="9">
        <v>46010</v>
      </c>
      <c r="B499" s="10" t="s">
        <v>262</v>
      </c>
      <c r="C499" s="11">
        <v>1059</v>
      </c>
      <c r="D499" s="10" t="str">
        <f>_xlfn.XLOOKUP(C499, Mapping!$C:$C, Mapping!$E:$E, "Check ID")</f>
        <v>Phone Utilities</v>
      </c>
      <c r="E499" s="12" t="s">
        <v>336</v>
      </c>
      <c r="F499" s="13">
        <v>181</v>
      </c>
    </row>
    <row r="500" spans="1:6" x14ac:dyDescent="0.3">
      <c r="A500" s="9">
        <v>46011</v>
      </c>
      <c r="B500" s="10" t="s">
        <v>262</v>
      </c>
      <c r="C500" s="11">
        <v>6977</v>
      </c>
      <c r="D500" s="10" t="str">
        <f>_xlfn.XLOOKUP(C500, Mapping!$C:$C, Mapping!$E:$E, "Check ID")</f>
        <v>Transfer</v>
      </c>
      <c r="E500" s="12" t="s">
        <v>336</v>
      </c>
      <c r="F500" s="13">
        <v>1080</v>
      </c>
    </row>
    <row r="501" spans="1:6" x14ac:dyDescent="0.3">
      <c r="A501" s="9">
        <v>46017</v>
      </c>
      <c r="B501" s="10" t="s">
        <v>262</v>
      </c>
      <c r="C501" s="11" t="s">
        <v>6</v>
      </c>
      <c r="D501" s="10" t="str">
        <f>_xlfn.XLOOKUP(C501, Mapping!$C:$C, Mapping!$E:$E, "Check ID")</f>
        <v>Government</v>
      </c>
      <c r="E501" s="12" t="s">
        <v>336</v>
      </c>
      <c r="F501" s="13">
        <v>7005</v>
      </c>
    </row>
    <row r="502" spans="1:6" x14ac:dyDescent="0.3">
      <c r="A502" s="9">
        <v>46021</v>
      </c>
      <c r="B502" s="10" t="s">
        <v>262</v>
      </c>
      <c r="C502" s="11">
        <v>4690</v>
      </c>
      <c r="D502" s="10" t="str">
        <f>_xlfn.XLOOKUP(C502, Mapping!$C:$C, Mapping!$E:$E, "Check ID")</f>
        <v>Terra Transfer</v>
      </c>
      <c r="E502" s="12" t="s">
        <v>336</v>
      </c>
      <c r="F502" s="13">
        <v>2070</v>
      </c>
    </row>
    <row r="503" spans="1:6" x14ac:dyDescent="0.3">
      <c r="A503" s="9">
        <v>45995</v>
      </c>
      <c r="B503" s="10" t="s">
        <v>262</v>
      </c>
      <c r="C503" s="11">
        <v>7276</v>
      </c>
      <c r="D503" s="10" t="str">
        <f>_xlfn.XLOOKUP(C503, Mapping!$C:$C, Mapping!$E:$E, "Check ID")</f>
        <v>Transfer</v>
      </c>
      <c r="E503" s="12" t="s">
        <v>337</v>
      </c>
      <c r="F503" s="13">
        <v>3000</v>
      </c>
    </row>
    <row r="504" spans="1:6" x14ac:dyDescent="0.3">
      <c r="A504" s="9">
        <v>45995</v>
      </c>
      <c r="B504" s="10" t="s">
        <v>262</v>
      </c>
      <c r="C504" s="11">
        <v>4758</v>
      </c>
      <c r="D504" s="10" t="str">
        <f>_xlfn.XLOOKUP(C504, Mapping!$C:$C, Mapping!$E:$E, "Check ID")</f>
        <v>Transfer</v>
      </c>
      <c r="E504" s="12" t="s">
        <v>337</v>
      </c>
      <c r="F504" s="13">
        <v>1990</v>
      </c>
    </row>
    <row r="505" spans="1:6" x14ac:dyDescent="0.3">
      <c r="A505" s="9">
        <v>45996</v>
      </c>
      <c r="B505" s="10" t="s">
        <v>262</v>
      </c>
      <c r="C505" s="11">
        <v>7586</v>
      </c>
      <c r="D505" s="10" t="str">
        <f>_xlfn.XLOOKUP(C505, Mapping!$C:$C, Mapping!$E:$E, "Check ID")</f>
        <v>Transfer</v>
      </c>
      <c r="E505" s="12" t="s">
        <v>337</v>
      </c>
      <c r="F505" s="13">
        <v>2000</v>
      </c>
    </row>
    <row r="506" spans="1:6" x14ac:dyDescent="0.3">
      <c r="A506" s="9">
        <v>45996</v>
      </c>
      <c r="B506" s="10" t="s">
        <v>262</v>
      </c>
      <c r="C506" s="11">
        <v>5854</v>
      </c>
      <c r="D506" s="10" t="str">
        <f>_xlfn.XLOOKUP(C506, Mapping!$C:$C, Mapping!$E:$E, "Check ID")</f>
        <v>Transfer</v>
      </c>
      <c r="E506" s="12" t="s">
        <v>337</v>
      </c>
      <c r="F506" s="13">
        <v>2500</v>
      </c>
    </row>
    <row r="507" spans="1:6" x14ac:dyDescent="0.3">
      <c r="A507" s="9">
        <v>45998</v>
      </c>
      <c r="B507" s="10" t="s">
        <v>262</v>
      </c>
      <c r="C507" s="11">
        <v>6406</v>
      </c>
      <c r="D507" s="10" t="str">
        <f>_xlfn.XLOOKUP(C507, Mapping!$C:$C, Mapping!$E:$E, "Check ID")</f>
        <v>Transfer</v>
      </c>
      <c r="E507" s="12" t="s">
        <v>337</v>
      </c>
      <c r="F507" s="13">
        <v>1800</v>
      </c>
    </row>
    <row r="508" spans="1:6" x14ac:dyDescent="0.3">
      <c r="A508" s="9">
        <v>46003</v>
      </c>
      <c r="B508" s="10" t="s">
        <v>262</v>
      </c>
      <c r="C508" s="11">
        <v>5763</v>
      </c>
      <c r="D508" s="10" t="str">
        <f>_xlfn.XLOOKUP(C508, Mapping!$C:$C, Mapping!$E:$E, "Check ID")</f>
        <v>Transfer</v>
      </c>
      <c r="E508" s="12" t="s">
        <v>337</v>
      </c>
      <c r="F508" s="13">
        <v>3600</v>
      </c>
    </row>
    <row r="509" spans="1:6" x14ac:dyDescent="0.3">
      <c r="A509" s="9">
        <v>46002</v>
      </c>
      <c r="B509" s="10" t="s">
        <v>262</v>
      </c>
      <c r="C509" s="11">
        <v>834</v>
      </c>
      <c r="D509" s="10" t="str">
        <f>_xlfn.XLOOKUP(C509, Mapping!$C:$C, Mapping!$E:$E, "Check ID")</f>
        <v>Transfer</v>
      </c>
      <c r="E509" s="12" t="s">
        <v>337</v>
      </c>
      <c r="F509" s="13">
        <v>1000</v>
      </c>
    </row>
    <row r="510" spans="1:6" x14ac:dyDescent="0.3">
      <c r="A510" s="9">
        <v>46006</v>
      </c>
      <c r="B510" s="10" t="s">
        <v>262</v>
      </c>
      <c r="C510" s="11">
        <v>7586</v>
      </c>
      <c r="D510" s="10" t="str">
        <f>_xlfn.XLOOKUP(C510, Mapping!$C:$C, Mapping!$E:$E, "Check ID")</f>
        <v>Transfer</v>
      </c>
      <c r="E510" s="12" t="s">
        <v>337</v>
      </c>
      <c r="F510" s="13">
        <v>2000</v>
      </c>
    </row>
    <row r="511" spans="1:6" x14ac:dyDescent="0.3">
      <c r="A511" s="9">
        <v>46006</v>
      </c>
      <c r="B511" s="10" t="s">
        <v>262</v>
      </c>
      <c r="C511" s="11">
        <v>6406</v>
      </c>
      <c r="D511" s="10" t="str">
        <f>_xlfn.XLOOKUP(C511, Mapping!$C:$C, Mapping!$E:$E, "Check ID")</f>
        <v>Transfer</v>
      </c>
      <c r="E511" s="12" t="s">
        <v>337</v>
      </c>
      <c r="F511" s="13">
        <v>3600</v>
      </c>
    </row>
    <row r="512" spans="1:6" x14ac:dyDescent="0.3">
      <c r="A512" s="9">
        <v>46007</v>
      </c>
      <c r="B512" s="10" t="s">
        <v>262</v>
      </c>
      <c r="C512" s="11">
        <v>4530</v>
      </c>
      <c r="D512" s="10" t="str">
        <f>_xlfn.XLOOKUP(C512, Mapping!$C:$C, Mapping!$E:$E, "Check ID")</f>
        <v>Saving Account</v>
      </c>
      <c r="E512" s="12" t="s">
        <v>337</v>
      </c>
      <c r="F512" s="13">
        <v>7000</v>
      </c>
    </row>
    <row r="513" spans="1:6" x14ac:dyDescent="0.3">
      <c r="A513" s="9">
        <v>46007</v>
      </c>
      <c r="B513" s="10" t="s">
        <v>262</v>
      </c>
      <c r="C513" s="11">
        <v>834</v>
      </c>
      <c r="D513" s="10" t="str">
        <f>_xlfn.XLOOKUP(C513, Mapping!$C:$C, Mapping!$E:$E, "Check ID")</f>
        <v>Transfer</v>
      </c>
      <c r="E513" s="12" t="s">
        <v>337</v>
      </c>
      <c r="F513" s="13">
        <v>800</v>
      </c>
    </row>
    <row r="514" spans="1:6" x14ac:dyDescent="0.3">
      <c r="A514" s="9">
        <v>46010</v>
      </c>
      <c r="B514" s="10" t="s">
        <v>262</v>
      </c>
      <c r="C514" s="11">
        <v>7261</v>
      </c>
      <c r="D514" s="10" t="str">
        <f>_xlfn.XLOOKUP(C514, Mapping!$C:$C, Mapping!$E:$E, "Check ID")</f>
        <v>Transfer</v>
      </c>
      <c r="E514" s="12" t="s">
        <v>337</v>
      </c>
      <c r="F514" s="13">
        <v>3000</v>
      </c>
    </row>
    <row r="515" spans="1:6" x14ac:dyDescent="0.3">
      <c r="A515" s="9">
        <v>46018</v>
      </c>
      <c r="B515" s="10" t="s">
        <v>262</v>
      </c>
      <c r="C515" s="11">
        <v>5672</v>
      </c>
      <c r="D515" s="10" t="str">
        <f>_xlfn.XLOOKUP(C515, Mapping!$C:$C, Mapping!$E:$E, "Check ID")</f>
        <v>Transfer</v>
      </c>
      <c r="E515" s="12" t="s">
        <v>337</v>
      </c>
      <c r="F515" s="13">
        <v>431</v>
      </c>
    </row>
    <row r="516" spans="1:6" x14ac:dyDescent="0.3">
      <c r="A516" s="9">
        <v>46021</v>
      </c>
      <c r="B516" s="10" t="s">
        <v>262</v>
      </c>
      <c r="C516" s="11">
        <v>4016</v>
      </c>
      <c r="D516" s="10" t="str">
        <f>_xlfn.XLOOKUP(C516, Mapping!$C:$C, Mapping!$E:$E, "Check ID")</f>
        <v>Transfer</v>
      </c>
      <c r="E516" s="12" t="s">
        <v>337</v>
      </c>
      <c r="F516" s="13">
        <v>2000</v>
      </c>
    </row>
    <row r="517" spans="1:6" x14ac:dyDescent="0.3">
      <c r="A517" s="9">
        <v>46021</v>
      </c>
      <c r="B517" s="10" t="s">
        <v>262</v>
      </c>
      <c r="C517" s="11">
        <v>7586</v>
      </c>
      <c r="D517" s="10" t="str">
        <f>_xlfn.XLOOKUP(C517, Mapping!$C:$C, Mapping!$E:$E, "Check ID")</f>
        <v>Transfer</v>
      </c>
      <c r="E517" s="12" t="s">
        <v>337</v>
      </c>
      <c r="F517" s="13">
        <v>2000</v>
      </c>
    </row>
    <row r="518" spans="1:6" x14ac:dyDescent="0.3">
      <c r="A518" s="9">
        <v>46018</v>
      </c>
      <c r="B518" s="10" t="s">
        <v>262</v>
      </c>
      <c r="C518" s="11">
        <v>5763</v>
      </c>
      <c r="D518" s="10" t="str">
        <f>_xlfn.XLOOKUP(C518, Mapping!$C:$C, Mapping!$E:$E, "Check ID")</f>
        <v>Transfer</v>
      </c>
      <c r="E518" s="12" t="s">
        <v>337</v>
      </c>
      <c r="F518" s="13">
        <v>3600</v>
      </c>
    </row>
    <row r="519" spans="1:6" x14ac:dyDescent="0.3">
      <c r="A519" s="9">
        <v>46022</v>
      </c>
      <c r="B519" s="10" t="s">
        <v>262</v>
      </c>
      <c r="C519" s="11" t="s">
        <v>53</v>
      </c>
      <c r="D519" s="10" t="str">
        <f>_xlfn.XLOOKUP(C519, Mapping!$C:$C, Mapping!$E:$E, "Check ID")</f>
        <v>Transfer</v>
      </c>
      <c r="E519" s="12" t="s">
        <v>337</v>
      </c>
      <c r="F519" s="13">
        <v>4000</v>
      </c>
    </row>
    <row r="520" spans="1:6" x14ac:dyDescent="0.3">
      <c r="A520" s="9">
        <v>45688</v>
      </c>
      <c r="B520" s="10" t="s">
        <v>147</v>
      </c>
      <c r="C520" s="11" t="s">
        <v>13</v>
      </c>
      <c r="D520" s="10" t="str">
        <f>_xlfn.XLOOKUP(C520, Mapping!$C:$C, Mapping!$E:$E, "Check ID")</f>
        <v>Insurance Fwd</v>
      </c>
      <c r="E520" s="12" t="s">
        <v>336</v>
      </c>
      <c r="F520" s="13">
        <v>35000</v>
      </c>
    </row>
    <row r="521" spans="1:6" x14ac:dyDescent="0.3">
      <c r="A521" s="9">
        <v>45688</v>
      </c>
      <c r="B521" s="10" t="s">
        <v>147</v>
      </c>
      <c r="C521" s="11" t="s">
        <v>18</v>
      </c>
      <c r="D521" s="10" t="str">
        <f>_xlfn.XLOOKUP(C521, Mapping!$C:$C, Mapping!$E:$E, "Check ID")</f>
        <v>Savings</v>
      </c>
      <c r="E521" s="12" t="s">
        <v>337</v>
      </c>
      <c r="F521" s="13">
        <v>5000</v>
      </c>
    </row>
    <row r="522" spans="1:6" x14ac:dyDescent="0.3">
      <c r="A522" s="9">
        <v>45688</v>
      </c>
      <c r="B522" s="10" t="s">
        <v>147</v>
      </c>
      <c r="C522" s="11" t="s">
        <v>129</v>
      </c>
      <c r="D522" s="10" t="str">
        <f>_xlfn.XLOOKUP(C522, Mapping!$C:$C, Mapping!$E:$E, "Check ID")</f>
        <v>Savings</v>
      </c>
      <c r="E522" s="12" t="s">
        <v>337</v>
      </c>
      <c r="F522" s="13">
        <v>2000</v>
      </c>
    </row>
    <row r="523" spans="1:6" x14ac:dyDescent="0.3">
      <c r="A523" s="9">
        <v>45687</v>
      </c>
      <c r="B523" s="10" t="s">
        <v>147</v>
      </c>
      <c r="C523" s="11" t="s">
        <v>15</v>
      </c>
      <c r="D523" s="10" t="str">
        <f>_xlfn.XLOOKUP(C523, Mapping!$C:$C, Mapping!$E:$E, "Check ID")</f>
        <v>Home Expense</v>
      </c>
      <c r="E523" s="12" t="s">
        <v>336</v>
      </c>
      <c r="F523" s="13">
        <v>20000</v>
      </c>
    </row>
    <row r="524" spans="1:6" x14ac:dyDescent="0.3">
      <c r="A524" s="9">
        <v>45672</v>
      </c>
      <c r="B524" s="10" t="s">
        <v>147</v>
      </c>
      <c r="C524" s="11" t="s">
        <v>119</v>
      </c>
      <c r="D524" s="10" t="str">
        <f>_xlfn.XLOOKUP(C524, Mapping!$C:$C, Mapping!$E:$E, "Check ID")</f>
        <v>Card payment</v>
      </c>
      <c r="E524" s="12" t="s">
        <v>336</v>
      </c>
      <c r="F524" s="13">
        <v>21827.279999999999</v>
      </c>
    </row>
    <row r="525" spans="1:6" x14ac:dyDescent="0.3">
      <c r="A525" s="9">
        <v>45673</v>
      </c>
      <c r="B525" s="10" t="s">
        <v>147</v>
      </c>
      <c r="C525" s="11" t="s">
        <v>16</v>
      </c>
      <c r="D525" s="10" t="str">
        <f>_xlfn.XLOOKUP(C525, Mapping!$C:$C, Mapping!$E:$E, "Check ID")</f>
        <v>Lp</v>
      </c>
      <c r="E525" s="12" t="s">
        <v>336</v>
      </c>
      <c r="F525" s="13">
        <v>800</v>
      </c>
    </row>
    <row r="526" spans="1:6" x14ac:dyDescent="0.3">
      <c r="A526" s="9">
        <v>45677</v>
      </c>
      <c r="B526" s="10" t="s">
        <v>147</v>
      </c>
      <c r="C526" s="11" t="s">
        <v>17</v>
      </c>
      <c r="D526" s="10" t="str">
        <f>_xlfn.XLOOKUP(C526, Mapping!$C:$C, Mapping!$E:$E, "Check ID")</f>
        <v>Pedia Payment</v>
      </c>
      <c r="E526" s="12" t="s">
        <v>336</v>
      </c>
      <c r="F526" s="13">
        <v>3600</v>
      </c>
    </row>
    <row r="527" spans="1:6" x14ac:dyDescent="0.3">
      <c r="A527" s="9">
        <v>45689</v>
      </c>
      <c r="B527" s="10" t="s">
        <v>362</v>
      </c>
      <c r="C527" s="11" t="s">
        <v>13</v>
      </c>
      <c r="D527" s="10" t="str">
        <f>_xlfn.XLOOKUP(C527, Mapping!$C:$C, Mapping!$E:$E, "Check ID")</f>
        <v>Insurance Fwd</v>
      </c>
      <c r="E527" s="12" t="s">
        <v>336</v>
      </c>
      <c r="F527" s="13">
        <v>20000</v>
      </c>
    </row>
    <row r="528" spans="1:6" x14ac:dyDescent="0.3">
      <c r="A528" s="9">
        <v>45716</v>
      </c>
      <c r="B528" s="10" t="s">
        <v>362</v>
      </c>
      <c r="C528" s="11" t="s">
        <v>18</v>
      </c>
      <c r="D528" s="10" t="str">
        <f>_xlfn.XLOOKUP(C528, Mapping!$C:$C, Mapping!$E:$E, "Check ID")</f>
        <v>Savings</v>
      </c>
      <c r="E528" s="12" t="s">
        <v>337</v>
      </c>
      <c r="F528" s="13">
        <v>10000</v>
      </c>
    </row>
    <row r="529" spans="1:6" x14ac:dyDescent="0.3">
      <c r="A529" s="9">
        <v>45716</v>
      </c>
      <c r="B529" s="10" t="s">
        <v>362</v>
      </c>
      <c r="C529" s="11" t="s">
        <v>129</v>
      </c>
      <c r="D529" s="10" t="str">
        <f>_xlfn.XLOOKUP(C529, Mapping!$C:$C, Mapping!$E:$E, "Check ID")</f>
        <v>Savings</v>
      </c>
      <c r="E529" s="12" t="s">
        <v>337</v>
      </c>
      <c r="F529" s="13">
        <v>3000</v>
      </c>
    </row>
    <row r="530" spans="1:6" x14ac:dyDescent="0.3">
      <c r="A530" s="9">
        <v>45716</v>
      </c>
      <c r="B530" s="10" t="s">
        <v>362</v>
      </c>
      <c r="C530" s="11" t="s">
        <v>15</v>
      </c>
      <c r="D530" s="10" t="str">
        <f>_xlfn.XLOOKUP(C530, Mapping!$C:$C, Mapping!$E:$E, "Check ID")</f>
        <v>Home Expense</v>
      </c>
      <c r="E530" s="12" t="s">
        <v>336</v>
      </c>
      <c r="F530" s="13">
        <v>15000</v>
      </c>
    </row>
    <row r="531" spans="1:6" x14ac:dyDescent="0.3">
      <c r="A531" s="9">
        <v>45703</v>
      </c>
      <c r="B531" s="10" t="s">
        <v>362</v>
      </c>
      <c r="C531" s="11" t="s">
        <v>119</v>
      </c>
      <c r="D531" s="10" t="str">
        <f>_xlfn.XLOOKUP(C531, Mapping!$C:$C, Mapping!$E:$E, "Check ID")</f>
        <v>Card payment</v>
      </c>
      <c r="E531" s="12" t="s">
        <v>336</v>
      </c>
      <c r="F531" s="13">
        <v>10895.67</v>
      </c>
    </row>
    <row r="532" spans="1:6" x14ac:dyDescent="0.3">
      <c r="A532" s="9">
        <v>45716</v>
      </c>
      <c r="B532" s="10" t="s">
        <v>362</v>
      </c>
      <c r="C532" s="11" t="s">
        <v>14</v>
      </c>
      <c r="D532" s="10" t="str">
        <f>_xlfn.XLOOKUP(C532, Mapping!$C:$C, Mapping!$E:$E, "Check ID")</f>
        <v>Personal</v>
      </c>
      <c r="E532" s="12" t="s">
        <v>336</v>
      </c>
      <c r="F532" s="13">
        <v>1500</v>
      </c>
    </row>
    <row r="533" spans="1:6" x14ac:dyDescent="0.3">
      <c r="A533" s="9">
        <v>45746</v>
      </c>
      <c r="B533" s="10" t="s">
        <v>149</v>
      </c>
      <c r="C533" s="11" t="s">
        <v>13</v>
      </c>
      <c r="D533" s="10" t="str">
        <f>_xlfn.XLOOKUP(C533, Mapping!$C:$C, Mapping!$E:$E, "Check ID")</f>
        <v>Insurance Fwd</v>
      </c>
      <c r="E533" s="12" t="s">
        <v>336</v>
      </c>
      <c r="F533" s="13">
        <v>15000</v>
      </c>
    </row>
    <row r="534" spans="1:6" x14ac:dyDescent="0.3">
      <c r="A534" s="9">
        <v>45746</v>
      </c>
      <c r="B534" s="10" t="s">
        <v>149</v>
      </c>
      <c r="C534" s="11" t="s">
        <v>18</v>
      </c>
      <c r="D534" s="10" t="str">
        <f>_xlfn.XLOOKUP(C534, Mapping!$C:$C, Mapping!$E:$E, "Check ID")</f>
        <v>Savings</v>
      </c>
      <c r="E534" s="12" t="s">
        <v>337</v>
      </c>
      <c r="F534" s="13">
        <v>10000</v>
      </c>
    </row>
    <row r="535" spans="1:6" x14ac:dyDescent="0.3">
      <c r="A535" s="9">
        <v>45746</v>
      </c>
      <c r="B535" s="10" t="s">
        <v>149</v>
      </c>
      <c r="C535" s="11" t="s">
        <v>129</v>
      </c>
      <c r="D535" s="10" t="str">
        <f>_xlfn.XLOOKUP(C535, Mapping!$C:$C, Mapping!$E:$E, "Check ID")</f>
        <v>Savings</v>
      </c>
      <c r="E535" s="12" t="s">
        <v>337</v>
      </c>
      <c r="F535" s="13">
        <v>5000</v>
      </c>
    </row>
    <row r="536" spans="1:6" x14ac:dyDescent="0.3">
      <c r="A536" s="9">
        <v>45746</v>
      </c>
      <c r="B536" s="10" t="s">
        <v>149</v>
      </c>
      <c r="C536" s="11" t="s">
        <v>15</v>
      </c>
      <c r="D536" s="10" t="str">
        <f>_xlfn.XLOOKUP(C536, Mapping!$C:$C, Mapping!$E:$E, "Check ID")</f>
        <v>Home Expense</v>
      </c>
      <c r="E536" s="12" t="s">
        <v>336</v>
      </c>
      <c r="F536" s="13">
        <v>15000</v>
      </c>
    </row>
    <row r="537" spans="1:6" x14ac:dyDescent="0.3">
      <c r="A537" s="9">
        <v>45731</v>
      </c>
      <c r="B537" s="10" t="s">
        <v>149</v>
      </c>
      <c r="C537" s="11" t="s">
        <v>119</v>
      </c>
      <c r="D537" s="10" t="str">
        <f>_xlfn.XLOOKUP(C537, Mapping!$C:$C, Mapping!$E:$E, "Check ID")</f>
        <v>Card payment</v>
      </c>
      <c r="E537" s="12" t="s">
        <v>336</v>
      </c>
      <c r="F537" s="13">
        <v>17963.54</v>
      </c>
    </row>
    <row r="538" spans="1:6" x14ac:dyDescent="0.3">
      <c r="A538" s="9">
        <v>45746</v>
      </c>
      <c r="B538" s="10" t="s">
        <v>149</v>
      </c>
      <c r="C538" s="11" t="s">
        <v>14</v>
      </c>
      <c r="D538" s="10" t="str">
        <f>_xlfn.XLOOKUP(C538, Mapping!$C:$C, Mapping!$E:$E, "Check ID")</f>
        <v>Personal</v>
      </c>
      <c r="E538" s="12" t="s">
        <v>336</v>
      </c>
      <c r="F538" s="13">
        <v>4500</v>
      </c>
    </row>
    <row r="539" spans="1:6" x14ac:dyDescent="0.3">
      <c r="A539" s="9">
        <v>45746</v>
      </c>
      <c r="B539" s="10" t="s">
        <v>149</v>
      </c>
      <c r="C539" s="11" t="s">
        <v>12</v>
      </c>
      <c r="D539" s="10" t="str">
        <f>_xlfn.XLOOKUP(C539, Mapping!$C:$C, Mapping!$E:$E, "Check ID")</f>
        <v>Plantation</v>
      </c>
      <c r="E539" s="12" t="s">
        <v>336</v>
      </c>
      <c r="F539" s="13">
        <v>4500</v>
      </c>
    </row>
    <row r="540" spans="1:6" x14ac:dyDescent="0.3">
      <c r="A540" s="9">
        <v>45762</v>
      </c>
      <c r="B540" s="10" t="s">
        <v>198</v>
      </c>
      <c r="C540" s="11" t="s">
        <v>13</v>
      </c>
      <c r="D540" s="10" t="str">
        <f>_xlfn.XLOOKUP(C540, Mapping!$C:$C, Mapping!$E:$E, "Check ID")</f>
        <v>Insurance Fwd</v>
      </c>
      <c r="E540" s="12" t="s">
        <v>336</v>
      </c>
      <c r="F540" s="13">
        <v>20000</v>
      </c>
    </row>
    <row r="541" spans="1:6" x14ac:dyDescent="0.3">
      <c r="A541" s="9">
        <v>45777</v>
      </c>
      <c r="B541" s="10" t="s">
        <v>198</v>
      </c>
      <c r="C541" s="11" t="s">
        <v>18</v>
      </c>
      <c r="D541" s="10" t="str">
        <f>_xlfn.XLOOKUP(C541, Mapping!$C:$C, Mapping!$E:$E, "Check ID")</f>
        <v>Savings</v>
      </c>
      <c r="E541" s="12" t="s">
        <v>337</v>
      </c>
      <c r="F541" s="13">
        <v>10000</v>
      </c>
    </row>
    <row r="542" spans="1:6" x14ac:dyDescent="0.3">
      <c r="A542" s="9">
        <v>45777</v>
      </c>
      <c r="B542" s="10" t="s">
        <v>198</v>
      </c>
      <c r="C542" s="11" t="s">
        <v>129</v>
      </c>
      <c r="D542" s="10" t="str">
        <f>_xlfn.XLOOKUP(C542, Mapping!$C:$C, Mapping!$E:$E, "Check ID")</f>
        <v>Savings</v>
      </c>
      <c r="E542" s="12" t="s">
        <v>337</v>
      </c>
      <c r="F542" s="13">
        <v>5000</v>
      </c>
    </row>
    <row r="543" spans="1:6" x14ac:dyDescent="0.3">
      <c r="A543" s="9">
        <v>45762</v>
      </c>
      <c r="B543" s="10" t="s">
        <v>198</v>
      </c>
      <c r="C543" s="11" t="s">
        <v>15</v>
      </c>
      <c r="D543" s="10" t="str">
        <f>_xlfn.XLOOKUP(C543, Mapping!$C:$C, Mapping!$E:$E, "Check ID")</f>
        <v>Home Expense</v>
      </c>
      <c r="E543" s="12" t="s">
        <v>336</v>
      </c>
      <c r="F543" s="13">
        <v>15000</v>
      </c>
    </row>
    <row r="544" spans="1:6" x14ac:dyDescent="0.3">
      <c r="A544" s="9">
        <v>45762</v>
      </c>
      <c r="B544" s="10" t="s">
        <v>198</v>
      </c>
      <c r="C544" s="11" t="s">
        <v>119</v>
      </c>
      <c r="D544" s="10" t="str">
        <f>_xlfn.XLOOKUP(C544, Mapping!$C:$C, Mapping!$E:$E, "Check ID")</f>
        <v>Card payment</v>
      </c>
      <c r="E544" s="12" t="s">
        <v>336</v>
      </c>
      <c r="F544" s="13">
        <v>10619.71</v>
      </c>
    </row>
    <row r="545" spans="1:6" x14ac:dyDescent="0.3">
      <c r="A545" s="9">
        <v>45777</v>
      </c>
      <c r="B545" s="10" t="s">
        <v>198</v>
      </c>
      <c r="C545" s="11" t="s">
        <v>14</v>
      </c>
      <c r="D545" s="10" t="str">
        <f>_xlfn.XLOOKUP(C545, Mapping!$C:$C, Mapping!$E:$E, "Check ID")</f>
        <v>Personal</v>
      </c>
      <c r="E545" s="12" t="s">
        <v>336</v>
      </c>
      <c r="F545" s="13">
        <v>1000</v>
      </c>
    </row>
    <row r="546" spans="1:6" x14ac:dyDescent="0.3">
      <c r="A546" s="9">
        <v>45777</v>
      </c>
      <c r="B546" s="10" t="s">
        <v>198</v>
      </c>
      <c r="C546" s="11" t="s">
        <v>12</v>
      </c>
      <c r="D546" s="10" t="str">
        <f>_xlfn.XLOOKUP(C546, Mapping!$C:$C, Mapping!$E:$E, "Check ID")</f>
        <v>Plantation</v>
      </c>
      <c r="E546" s="12" t="s">
        <v>336</v>
      </c>
      <c r="F546" s="13">
        <v>5000</v>
      </c>
    </row>
    <row r="547" spans="1:6" x14ac:dyDescent="0.3">
      <c r="A547" s="9">
        <v>45807</v>
      </c>
      <c r="B547" s="10" t="s">
        <v>206</v>
      </c>
      <c r="C547" s="11" t="s">
        <v>13</v>
      </c>
      <c r="D547" s="10" t="str">
        <f>_xlfn.XLOOKUP(C547, Mapping!$C:$C, Mapping!$E:$E, "Check ID")</f>
        <v>Insurance Fwd</v>
      </c>
      <c r="E547" s="12" t="s">
        <v>336</v>
      </c>
      <c r="F547" s="13">
        <v>20000</v>
      </c>
    </row>
    <row r="548" spans="1:6" x14ac:dyDescent="0.3">
      <c r="A548" s="9">
        <v>45807</v>
      </c>
      <c r="B548" s="10" t="s">
        <v>206</v>
      </c>
      <c r="C548" s="11" t="s">
        <v>18</v>
      </c>
      <c r="D548" s="10" t="str">
        <f>_xlfn.XLOOKUP(C548, Mapping!$C:$C, Mapping!$E:$E, "Check ID")</f>
        <v>Savings</v>
      </c>
      <c r="E548" s="12" t="s">
        <v>337</v>
      </c>
      <c r="F548" s="13">
        <v>10000</v>
      </c>
    </row>
    <row r="549" spans="1:6" x14ac:dyDescent="0.3">
      <c r="A549" s="9">
        <v>45807</v>
      </c>
      <c r="B549" s="10" t="s">
        <v>206</v>
      </c>
      <c r="C549" s="11" t="s">
        <v>129</v>
      </c>
      <c r="D549" s="10" t="str">
        <f>_xlfn.XLOOKUP(C549, Mapping!$C:$C, Mapping!$E:$E, "Check ID")</f>
        <v>Savings</v>
      </c>
      <c r="E549" s="12" t="s">
        <v>337</v>
      </c>
      <c r="F549" s="13">
        <v>3000</v>
      </c>
    </row>
    <row r="550" spans="1:6" x14ac:dyDescent="0.3">
      <c r="A550" s="9">
        <v>45807</v>
      </c>
      <c r="B550" s="10" t="s">
        <v>206</v>
      </c>
      <c r="C550" s="11" t="s">
        <v>15</v>
      </c>
      <c r="D550" s="10" t="str">
        <f>_xlfn.XLOOKUP(C550, Mapping!$C:$C, Mapping!$E:$E, "Check ID")</f>
        <v>Home Expense</v>
      </c>
      <c r="E550" s="12" t="s">
        <v>336</v>
      </c>
      <c r="F550" s="13">
        <v>15000</v>
      </c>
    </row>
    <row r="551" spans="1:6" x14ac:dyDescent="0.3">
      <c r="A551" s="9">
        <v>45807</v>
      </c>
      <c r="B551" s="10" t="s">
        <v>206</v>
      </c>
      <c r="C551" s="11" t="s">
        <v>119</v>
      </c>
      <c r="D551" s="10" t="str">
        <f>_xlfn.XLOOKUP(C551, Mapping!$C:$C, Mapping!$E:$E, "Check ID")</f>
        <v>Card payment</v>
      </c>
      <c r="E551" s="12" t="s">
        <v>336</v>
      </c>
      <c r="F551" s="13">
        <v>22037.96</v>
      </c>
    </row>
    <row r="552" spans="1:6" x14ac:dyDescent="0.3">
      <c r="A552" s="9">
        <v>45807</v>
      </c>
      <c r="B552" s="10" t="s">
        <v>206</v>
      </c>
      <c r="C552" s="11" t="s">
        <v>14</v>
      </c>
      <c r="D552" s="10" t="str">
        <f>_xlfn.XLOOKUP(C552, Mapping!$C:$C, Mapping!$E:$E, "Check ID")</f>
        <v>Personal</v>
      </c>
      <c r="E552" s="12" t="s">
        <v>336</v>
      </c>
      <c r="F552" s="13">
        <v>10500</v>
      </c>
    </row>
    <row r="553" spans="1:6" x14ac:dyDescent="0.3">
      <c r="A553" s="9">
        <v>45838</v>
      </c>
      <c r="B553" s="10" t="s">
        <v>216</v>
      </c>
      <c r="C553" s="11" t="s">
        <v>13</v>
      </c>
      <c r="D553" s="10" t="str">
        <f>_xlfn.XLOOKUP(C553, Mapping!$C:$C, Mapping!$E:$E, "Check ID")</f>
        <v>Insurance Fwd</v>
      </c>
      <c r="E553" s="12" t="s">
        <v>336</v>
      </c>
      <c r="F553" s="13">
        <v>20000</v>
      </c>
    </row>
    <row r="554" spans="1:6" x14ac:dyDescent="0.3">
      <c r="A554" s="9">
        <v>45838</v>
      </c>
      <c r="B554" s="10" t="s">
        <v>216</v>
      </c>
      <c r="C554" s="11" t="s">
        <v>18</v>
      </c>
      <c r="D554" s="10" t="str">
        <f>_xlfn.XLOOKUP(C554, Mapping!$C:$C, Mapping!$E:$E, "Check ID")</f>
        <v>Savings</v>
      </c>
      <c r="E554" s="12" t="s">
        <v>337</v>
      </c>
      <c r="F554" s="13">
        <v>10000</v>
      </c>
    </row>
    <row r="555" spans="1:6" x14ac:dyDescent="0.3">
      <c r="A555" s="9">
        <v>45838</v>
      </c>
      <c r="B555" s="10" t="s">
        <v>216</v>
      </c>
      <c r="C555" s="11" t="s">
        <v>129</v>
      </c>
      <c r="D555" s="10" t="str">
        <f>_xlfn.XLOOKUP(C555, Mapping!$C:$C, Mapping!$E:$E, "Check ID")</f>
        <v>Savings</v>
      </c>
      <c r="E555" s="12" t="s">
        <v>337</v>
      </c>
      <c r="F555" s="13">
        <v>2000</v>
      </c>
    </row>
    <row r="556" spans="1:6" x14ac:dyDescent="0.3">
      <c r="A556" s="9">
        <v>45838</v>
      </c>
      <c r="B556" s="10" t="s">
        <v>216</v>
      </c>
      <c r="C556" s="11" t="s">
        <v>15</v>
      </c>
      <c r="D556" s="10" t="str">
        <f>_xlfn.XLOOKUP(C556, Mapping!$C:$C, Mapping!$E:$E, "Check ID")</f>
        <v>Home Expense</v>
      </c>
      <c r="E556" s="12" t="s">
        <v>336</v>
      </c>
      <c r="F556" s="13">
        <v>15000</v>
      </c>
    </row>
    <row r="557" spans="1:6" x14ac:dyDescent="0.3">
      <c r="A557" s="9">
        <v>45838</v>
      </c>
      <c r="B557" s="10" t="s">
        <v>216</v>
      </c>
      <c r="C557" s="11" t="s">
        <v>119</v>
      </c>
      <c r="D557" s="10" t="str">
        <f>_xlfn.XLOOKUP(C557, Mapping!$C:$C, Mapping!$E:$E, "Check ID")</f>
        <v>Card payment</v>
      </c>
      <c r="E557" s="12" t="s">
        <v>336</v>
      </c>
      <c r="F557" s="13">
        <v>17064.830000000002</v>
      </c>
    </row>
    <row r="558" spans="1:6" x14ac:dyDescent="0.3">
      <c r="A558" s="9">
        <v>45838</v>
      </c>
      <c r="B558" s="10" t="s">
        <v>216</v>
      </c>
      <c r="C558" s="11" t="s">
        <v>12</v>
      </c>
      <c r="D558" s="10" t="str">
        <f>_xlfn.XLOOKUP(C558, Mapping!$C:$C, Mapping!$E:$E, "Check ID")</f>
        <v>Plantation</v>
      </c>
      <c r="E558" s="12" t="s">
        <v>336</v>
      </c>
      <c r="F558" s="13">
        <v>8950</v>
      </c>
    </row>
    <row r="559" spans="1:6" x14ac:dyDescent="0.3">
      <c r="A559" s="9">
        <v>45868</v>
      </c>
      <c r="B559" s="10" t="s">
        <v>230</v>
      </c>
      <c r="C559" s="11" t="s">
        <v>13</v>
      </c>
      <c r="D559" s="10" t="str">
        <f>_xlfn.XLOOKUP(C559, Mapping!$C:$C, Mapping!$E:$E, "Check ID")</f>
        <v>Insurance Fwd</v>
      </c>
      <c r="E559" s="12" t="s">
        <v>336</v>
      </c>
      <c r="F559" s="13">
        <v>10000</v>
      </c>
    </row>
    <row r="560" spans="1:6" x14ac:dyDescent="0.3">
      <c r="A560" s="9">
        <v>45868</v>
      </c>
      <c r="B560" s="10" t="s">
        <v>230</v>
      </c>
      <c r="C560" s="11" t="s">
        <v>18</v>
      </c>
      <c r="D560" s="10" t="str">
        <f>_xlfn.XLOOKUP(C560, Mapping!$C:$C, Mapping!$E:$E, "Check ID")</f>
        <v>Savings</v>
      </c>
      <c r="E560" s="12" t="s">
        <v>337</v>
      </c>
      <c r="F560" s="13">
        <v>12000</v>
      </c>
    </row>
    <row r="561" spans="1:6" x14ac:dyDescent="0.3">
      <c r="A561" s="9">
        <v>45868</v>
      </c>
      <c r="B561" s="10" t="s">
        <v>230</v>
      </c>
      <c r="C561" s="11" t="s">
        <v>129</v>
      </c>
      <c r="D561" s="10" t="str">
        <f>_xlfn.XLOOKUP(C561, Mapping!$C:$C, Mapping!$E:$E, "Check ID")</f>
        <v>Savings</v>
      </c>
      <c r="E561" s="12" t="s">
        <v>337</v>
      </c>
      <c r="F561" s="13">
        <v>4000</v>
      </c>
    </row>
    <row r="562" spans="1:6" x14ac:dyDescent="0.3">
      <c r="A562" s="9">
        <v>45868</v>
      </c>
      <c r="B562" s="10" t="s">
        <v>230</v>
      </c>
      <c r="C562" s="11" t="s">
        <v>15</v>
      </c>
      <c r="D562" s="10" t="str">
        <f>_xlfn.XLOOKUP(C562, Mapping!$C:$C, Mapping!$E:$E, "Check ID")</f>
        <v>Home Expense</v>
      </c>
      <c r="E562" s="12" t="s">
        <v>336</v>
      </c>
      <c r="F562" s="13">
        <v>15000</v>
      </c>
    </row>
    <row r="563" spans="1:6" x14ac:dyDescent="0.3">
      <c r="A563" s="9">
        <v>45868</v>
      </c>
      <c r="B563" s="10" t="s">
        <v>230</v>
      </c>
      <c r="C563" s="11" t="s">
        <v>119</v>
      </c>
      <c r="D563" s="10" t="str">
        <f>_xlfn.XLOOKUP(C563, Mapping!$C:$C, Mapping!$E:$E, "Check ID")</f>
        <v>Card payment</v>
      </c>
      <c r="E563" s="12" t="s">
        <v>336</v>
      </c>
      <c r="F563" s="13">
        <v>9305.2099999999991</v>
      </c>
    </row>
    <row r="564" spans="1:6" x14ac:dyDescent="0.3">
      <c r="A564" s="9">
        <v>45868</v>
      </c>
      <c r="B564" s="10" t="s">
        <v>230</v>
      </c>
      <c r="C564" s="11" t="s">
        <v>14</v>
      </c>
      <c r="D564" s="10" t="str">
        <f>_xlfn.XLOOKUP(C564, Mapping!$C:$C, Mapping!$E:$E, "Check ID")</f>
        <v>Personal</v>
      </c>
      <c r="E564" s="12" t="s">
        <v>336</v>
      </c>
      <c r="F564" s="13">
        <v>5500</v>
      </c>
    </row>
    <row r="565" spans="1:6" x14ac:dyDescent="0.3">
      <c r="A565" s="9">
        <v>45868</v>
      </c>
      <c r="B565" s="10" t="s">
        <v>230</v>
      </c>
      <c r="C565" s="11" t="s">
        <v>12</v>
      </c>
      <c r="D565" s="10" t="str">
        <f>_xlfn.XLOOKUP(C565, Mapping!$C:$C, Mapping!$E:$E, "Check ID")</f>
        <v>Plantation</v>
      </c>
      <c r="E565" s="12" t="s">
        <v>336</v>
      </c>
      <c r="F565" s="13">
        <v>10000</v>
      </c>
    </row>
    <row r="566" spans="1:6" x14ac:dyDescent="0.3">
      <c r="A566" s="9">
        <v>45899</v>
      </c>
      <c r="B566" s="10" t="s">
        <v>243</v>
      </c>
      <c r="C566" s="11" t="s">
        <v>13</v>
      </c>
      <c r="D566" s="10" t="str">
        <f>_xlfn.XLOOKUP(C566, Mapping!$C:$C, Mapping!$E:$E, "Check ID")</f>
        <v>Insurance Fwd</v>
      </c>
      <c r="E566" s="12" t="s">
        <v>336</v>
      </c>
      <c r="F566" s="13">
        <v>20000</v>
      </c>
    </row>
    <row r="567" spans="1:6" x14ac:dyDescent="0.3">
      <c r="A567" s="9">
        <v>45899</v>
      </c>
      <c r="B567" s="10" t="s">
        <v>243</v>
      </c>
      <c r="C567" s="11" t="s">
        <v>18</v>
      </c>
      <c r="D567" s="10" t="str">
        <f>_xlfn.XLOOKUP(C567, Mapping!$C:$C, Mapping!$E:$E, "Check ID")</f>
        <v>Savings</v>
      </c>
      <c r="E567" s="12" t="s">
        <v>337</v>
      </c>
      <c r="F567" s="13">
        <v>10000</v>
      </c>
    </row>
    <row r="568" spans="1:6" x14ac:dyDescent="0.3">
      <c r="A568" s="9">
        <v>45899</v>
      </c>
      <c r="B568" s="10" t="s">
        <v>243</v>
      </c>
      <c r="C568" s="11" t="s">
        <v>129</v>
      </c>
      <c r="D568" s="10" t="str">
        <f>_xlfn.XLOOKUP(C568, Mapping!$C:$C, Mapping!$E:$E, "Check ID")</f>
        <v>Savings</v>
      </c>
      <c r="E568" s="12" t="s">
        <v>337</v>
      </c>
      <c r="F568" s="13">
        <v>5000</v>
      </c>
    </row>
    <row r="569" spans="1:6" x14ac:dyDescent="0.3">
      <c r="A569" s="9">
        <v>45899</v>
      </c>
      <c r="B569" s="10" t="s">
        <v>243</v>
      </c>
      <c r="C569" s="11" t="s">
        <v>15</v>
      </c>
      <c r="D569" s="10" t="str">
        <f>_xlfn.XLOOKUP(C569, Mapping!$C:$C, Mapping!$E:$E, "Check ID")</f>
        <v>Home Expense</v>
      </c>
      <c r="E569" s="12" t="s">
        <v>336</v>
      </c>
      <c r="F569" s="13">
        <v>15000</v>
      </c>
    </row>
    <row r="570" spans="1:6" x14ac:dyDescent="0.3">
      <c r="A570" s="9">
        <v>45899</v>
      </c>
      <c r="B570" s="10" t="s">
        <v>243</v>
      </c>
      <c r="C570" s="11" t="s">
        <v>119</v>
      </c>
      <c r="D570" s="10" t="str">
        <f>_xlfn.XLOOKUP(C570, Mapping!$C:$C, Mapping!$E:$E, "Check ID")</f>
        <v>Card payment</v>
      </c>
      <c r="E570" s="12" t="s">
        <v>336</v>
      </c>
      <c r="F570" s="13">
        <v>16359.01</v>
      </c>
    </row>
    <row r="571" spans="1:6" x14ac:dyDescent="0.3">
      <c r="A571" s="9">
        <v>45899</v>
      </c>
      <c r="B571" s="10" t="s">
        <v>243</v>
      </c>
      <c r="C571" s="11" t="s">
        <v>12</v>
      </c>
      <c r="D571" s="10" t="str">
        <f>_xlfn.XLOOKUP(C571, Mapping!$C:$C, Mapping!$E:$E, "Check ID")</f>
        <v>Plantation</v>
      </c>
      <c r="E571" s="12" t="s">
        <v>336</v>
      </c>
      <c r="F571" s="13">
        <v>9000</v>
      </c>
    </row>
    <row r="572" spans="1:6" x14ac:dyDescent="0.3">
      <c r="A572" s="9">
        <v>45930</v>
      </c>
      <c r="B572" s="10" t="s">
        <v>249</v>
      </c>
      <c r="C572" s="11" t="s">
        <v>13</v>
      </c>
      <c r="D572" s="10" t="str">
        <f>_xlfn.XLOOKUP(C572, Mapping!$C:$C, Mapping!$E:$E, "Check ID")</f>
        <v>Insurance Fwd</v>
      </c>
      <c r="E572" s="12" t="s">
        <v>336</v>
      </c>
      <c r="F572" s="13">
        <v>15000</v>
      </c>
    </row>
    <row r="573" spans="1:6" x14ac:dyDescent="0.3">
      <c r="A573" s="9">
        <v>45930</v>
      </c>
      <c r="B573" s="10" t="s">
        <v>249</v>
      </c>
      <c r="C573" s="11" t="s">
        <v>18</v>
      </c>
      <c r="D573" s="10" t="str">
        <f>_xlfn.XLOOKUP(C573, Mapping!$C:$C, Mapping!$E:$E, "Check ID")</f>
        <v>Savings</v>
      </c>
      <c r="E573" s="12" t="s">
        <v>337</v>
      </c>
      <c r="F573" s="13">
        <v>10000</v>
      </c>
    </row>
    <row r="574" spans="1:6" x14ac:dyDescent="0.3">
      <c r="A574" s="9">
        <v>45930</v>
      </c>
      <c r="B574" s="10" t="s">
        <v>249</v>
      </c>
      <c r="C574" s="11" t="s">
        <v>129</v>
      </c>
      <c r="D574" s="10" t="str">
        <f>_xlfn.XLOOKUP(C574, Mapping!$C:$C, Mapping!$E:$E, "Check ID")</f>
        <v>Savings</v>
      </c>
      <c r="E574" s="12" t="s">
        <v>337</v>
      </c>
      <c r="F574" s="13">
        <v>4600</v>
      </c>
    </row>
    <row r="575" spans="1:6" x14ac:dyDescent="0.3">
      <c r="A575" s="9">
        <v>45930</v>
      </c>
      <c r="B575" s="10" t="s">
        <v>249</v>
      </c>
      <c r="C575" s="11" t="s">
        <v>15</v>
      </c>
      <c r="D575" s="10" t="str">
        <f>_xlfn.XLOOKUP(C575, Mapping!$C:$C, Mapping!$E:$E, "Check ID")</f>
        <v>Home Expense</v>
      </c>
      <c r="E575" s="12" t="s">
        <v>336</v>
      </c>
      <c r="F575" s="13">
        <v>15000</v>
      </c>
    </row>
    <row r="576" spans="1:6" x14ac:dyDescent="0.3">
      <c r="A576" s="9">
        <v>45930</v>
      </c>
      <c r="B576" s="10" t="s">
        <v>249</v>
      </c>
      <c r="C576" s="11" t="s">
        <v>119</v>
      </c>
      <c r="D576" s="10" t="str">
        <f>_xlfn.XLOOKUP(C576, Mapping!$C:$C, Mapping!$E:$E, "Check ID")</f>
        <v>Card payment</v>
      </c>
      <c r="E576" s="12" t="s">
        <v>336</v>
      </c>
      <c r="F576" s="13">
        <v>12445.46</v>
      </c>
    </row>
    <row r="577" spans="1:6" x14ac:dyDescent="0.3">
      <c r="A577" s="9">
        <v>45930</v>
      </c>
      <c r="B577" s="10" t="s">
        <v>249</v>
      </c>
      <c r="C577" s="11" t="s">
        <v>14</v>
      </c>
      <c r="D577" s="10" t="str">
        <f>_xlfn.XLOOKUP(C577, Mapping!$C:$C, Mapping!$E:$E, "Check ID")</f>
        <v>Personal</v>
      </c>
      <c r="E577" s="12" t="s">
        <v>336</v>
      </c>
      <c r="F577" s="13">
        <v>3000</v>
      </c>
    </row>
    <row r="578" spans="1:6" x14ac:dyDescent="0.3">
      <c r="A578" s="9">
        <v>45930</v>
      </c>
      <c r="B578" s="10" t="s">
        <v>249</v>
      </c>
      <c r="C578" s="11" t="s">
        <v>12</v>
      </c>
      <c r="D578" s="10" t="str">
        <f>_xlfn.XLOOKUP(C578, Mapping!$C:$C, Mapping!$E:$E, "Check ID")</f>
        <v>Plantation</v>
      </c>
      <c r="E578" s="12" t="s">
        <v>336</v>
      </c>
      <c r="F578" s="13">
        <v>5000</v>
      </c>
    </row>
    <row r="579" spans="1:6" x14ac:dyDescent="0.3">
      <c r="A579" s="9">
        <v>45960</v>
      </c>
      <c r="B579" s="10" t="s">
        <v>252</v>
      </c>
      <c r="C579" s="11" t="s">
        <v>13</v>
      </c>
      <c r="D579" s="10" t="str">
        <f>_xlfn.XLOOKUP(C579, Mapping!$C:$C, Mapping!$E:$E, "Check ID")</f>
        <v>Insurance Fwd</v>
      </c>
      <c r="E579" s="12" t="s">
        <v>336</v>
      </c>
      <c r="F579" s="13">
        <v>15000</v>
      </c>
    </row>
    <row r="580" spans="1:6" x14ac:dyDescent="0.3">
      <c r="A580" s="9">
        <v>45960</v>
      </c>
      <c r="B580" s="10" t="s">
        <v>252</v>
      </c>
      <c r="C580" s="11" t="s">
        <v>18</v>
      </c>
      <c r="D580" s="10" t="str">
        <f>_xlfn.XLOOKUP(C580, Mapping!$C:$C, Mapping!$E:$E, "Check ID")</f>
        <v>Savings</v>
      </c>
      <c r="E580" s="12" t="s">
        <v>337</v>
      </c>
      <c r="F580" s="13">
        <v>10000</v>
      </c>
    </row>
    <row r="581" spans="1:6" x14ac:dyDescent="0.3">
      <c r="A581" s="9">
        <v>45960</v>
      </c>
      <c r="B581" s="10" t="s">
        <v>252</v>
      </c>
      <c r="C581" s="11" t="s">
        <v>15</v>
      </c>
      <c r="D581" s="10" t="str">
        <f>_xlfn.XLOOKUP(C581, Mapping!$C:$C, Mapping!$E:$E, "Check ID")</f>
        <v>Home Expense</v>
      </c>
      <c r="E581" s="12" t="s">
        <v>336</v>
      </c>
      <c r="F581" s="13">
        <v>15000</v>
      </c>
    </row>
    <row r="582" spans="1:6" x14ac:dyDescent="0.3">
      <c r="A582" s="9">
        <v>45960</v>
      </c>
      <c r="B582" s="10" t="s">
        <v>252</v>
      </c>
      <c r="C582" s="11" t="s">
        <v>119</v>
      </c>
      <c r="D582" s="10" t="str">
        <f>_xlfn.XLOOKUP(C582, Mapping!$C:$C, Mapping!$E:$E, "Check ID")</f>
        <v>Card payment</v>
      </c>
      <c r="E582" s="12" t="s">
        <v>336</v>
      </c>
      <c r="F582" s="13">
        <v>13534.22</v>
      </c>
    </row>
    <row r="583" spans="1:6" x14ac:dyDescent="0.3">
      <c r="A583" s="9">
        <v>45960</v>
      </c>
      <c r="B583" s="10" t="s">
        <v>252</v>
      </c>
      <c r="C583" s="11" t="s">
        <v>14</v>
      </c>
      <c r="D583" s="10" t="str">
        <f>_xlfn.XLOOKUP(C583, Mapping!$C:$C, Mapping!$E:$E, "Check ID")</f>
        <v>Personal</v>
      </c>
      <c r="E583" s="12" t="s">
        <v>336</v>
      </c>
      <c r="F583" s="13">
        <v>5000</v>
      </c>
    </row>
    <row r="584" spans="1:6" x14ac:dyDescent="0.3">
      <c r="A584" s="9">
        <v>45960</v>
      </c>
      <c r="B584" s="10" t="s">
        <v>252</v>
      </c>
      <c r="C584" s="11" t="s">
        <v>12</v>
      </c>
      <c r="D584" s="10" t="str">
        <f>_xlfn.XLOOKUP(C584, Mapping!$C:$C, Mapping!$E:$E, "Check ID")</f>
        <v>Plantation</v>
      </c>
      <c r="E584" s="12" t="s">
        <v>336</v>
      </c>
      <c r="F584" s="13">
        <v>4000</v>
      </c>
    </row>
    <row r="585" spans="1:6" x14ac:dyDescent="0.3">
      <c r="A585" s="9">
        <v>45991</v>
      </c>
      <c r="B585" s="10" t="s">
        <v>256</v>
      </c>
      <c r="C585" s="11" t="s">
        <v>13</v>
      </c>
      <c r="D585" s="10" t="str">
        <f>_xlfn.XLOOKUP(C585, Mapping!$C:$C, Mapping!$E:$E, "Check ID")</f>
        <v>Insurance Fwd</v>
      </c>
      <c r="E585" s="12" t="s">
        <v>336</v>
      </c>
      <c r="F585" s="13">
        <v>15000</v>
      </c>
    </row>
    <row r="586" spans="1:6" x14ac:dyDescent="0.3">
      <c r="A586" s="9">
        <v>45991</v>
      </c>
      <c r="B586" s="10" t="s">
        <v>256</v>
      </c>
      <c r="C586" s="11" t="s">
        <v>18</v>
      </c>
      <c r="D586" s="10" t="str">
        <f>_xlfn.XLOOKUP(C586, Mapping!$C:$C, Mapping!$E:$E, "Check ID")</f>
        <v>Savings</v>
      </c>
      <c r="E586" s="12" t="s">
        <v>337</v>
      </c>
      <c r="F586" s="13">
        <v>10000</v>
      </c>
    </row>
    <row r="587" spans="1:6" x14ac:dyDescent="0.3">
      <c r="A587" s="9">
        <v>45991</v>
      </c>
      <c r="B587" s="10" t="s">
        <v>256</v>
      </c>
      <c r="C587" s="11" t="s">
        <v>129</v>
      </c>
      <c r="D587" s="10" t="str">
        <f>_xlfn.XLOOKUP(C587, Mapping!$C:$C, Mapping!$E:$E, "Check ID")</f>
        <v>Savings</v>
      </c>
      <c r="E587" s="12" t="s">
        <v>337</v>
      </c>
      <c r="F587" s="13">
        <v>6000</v>
      </c>
    </row>
    <row r="588" spans="1:6" x14ac:dyDescent="0.3">
      <c r="A588" s="9">
        <v>45991</v>
      </c>
      <c r="B588" s="10" t="s">
        <v>256</v>
      </c>
      <c r="C588" s="11" t="s">
        <v>15</v>
      </c>
      <c r="D588" s="10" t="str">
        <f>_xlfn.XLOOKUP(C588, Mapping!$C:$C, Mapping!$E:$E, "Check ID")</f>
        <v>Home Expense</v>
      </c>
      <c r="E588" s="12" t="s">
        <v>336</v>
      </c>
      <c r="F588" s="13">
        <v>15000</v>
      </c>
    </row>
    <row r="589" spans="1:6" x14ac:dyDescent="0.3">
      <c r="A589" s="9">
        <v>45991</v>
      </c>
      <c r="B589" s="10" t="s">
        <v>256</v>
      </c>
      <c r="C589" s="11" t="s">
        <v>119</v>
      </c>
      <c r="D589" s="10" t="str">
        <f>_xlfn.XLOOKUP(C589, Mapping!$C:$C, Mapping!$E:$E, "Check ID")</f>
        <v>Card payment</v>
      </c>
      <c r="E589" s="12" t="s">
        <v>336</v>
      </c>
      <c r="F589" s="13">
        <v>17233.88</v>
      </c>
    </row>
    <row r="590" spans="1:6" x14ac:dyDescent="0.3">
      <c r="A590" s="9">
        <v>45991</v>
      </c>
      <c r="B590" s="10" t="s">
        <v>256</v>
      </c>
      <c r="C590" s="11" t="s">
        <v>14</v>
      </c>
      <c r="D590" s="10" t="str">
        <f>_xlfn.XLOOKUP(C590, Mapping!$C:$C, Mapping!$E:$E, "Check ID")</f>
        <v>Personal</v>
      </c>
      <c r="E590" s="12" t="s">
        <v>336</v>
      </c>
      <c r="F590" s="13">
        <v>1500</v>
      </c>
    </row>
    <row r="591" spans="1:6" x14ac:dyDescent="0.3">
      <c r="A591" s="9">
        <v>45991</v>
      </c>
      <c r="B591" s="10" t="s">
        <v>256</v>
      </c>
      <c r="C591" s="11" t="s">
        <v>12</v>
      </c>
      <c r="D591" s="10" t="str">
        <f>_xlfn.XLOOKUP(C591, Mapping!$C:$C, Mapping!$E:$E, "Check ID")</f>
        <v>Plantation</v>
      </c>
      <c r="E591" s="12" t="s">
        <v>336</v>
      </c>
      <c r="F591" s="13">
        <v>2500</v>
      </c>
    </row>
    <row r="592" spans="1:6" x14ac:dyDescent="0.3">
      <c r="A592" s="9">
        <v>46021</v>
      </c>
      <c r="B592" s="10" t="s">
        <v>262</v>
      </c>
      <c r="C592" s="11" t="s">
        <v>13</v>
      </c>
      <c r="D592" s="10" t="str">
        <f>_xlfn.XLOOKUP(C592, Mapping!$C:$C, Mapping!$E:$E, "Check ID")</f>
        <v>Insurance Fwd</v>
      </c>
      <c r="E592" s="12" t="s">
        <v>336</v>
      </c>
      <c r="F592" s="13">
        <v>15000</v>
      </c>
    </row>
    <row r="593" spans="1:6" x14ac:dyDescent="0.3">
      <c r="A593" s="9">
        <v>46021</v>
      </c>
      <c r="B593" s="10" t="s">
        <v>262</v>
      </c>
      <c r="C593" s="11" t="s">
        <v>18</v>
      </c>
      <c r="D593" s="10" t="str">
        <f>_xlfn.XLOOKUP(C593, Mapping!$C:$C, Mapping!$E:$E, "Check ID")</f>
        <v>Savings</v>
      </c>
      <c r="E593" s="12" t="s">
        <v>337</v>
      </c>
      <c r="F593" s="13">
        <v>10000</v>
      </c>
    </row>
    <row r="594" spans="1:6" x14ac:dyDescent="0.3">
      <c r="A594" s="9">
        <v>46021</v>
      </c>
      <c r="B594" s="10" t="s">
        <v>262</v>
      </c>
      <c r="C594" s="11" t="s">
        <v>129</v>
      </c>
      <c r="D594" s="10" t="str">
        <f>_xlfn.XLOOKUP(C594, Mapping!$C:$C, Mapping!$E:$E, "Check ID")</f>
        <v>Savings</v>
      </c>
      <c r="E594" s="12" t="s">
        <v>337</v>
      </c>
      <c r="F594" s="13">
        <v>5000</v>
      </c>
    </row>
    <row r="595" spans="1:6" x14ac:dyDescent="0.3">
      <c r="A595" s="9">
        <v>46021</v>
      </c>
      <c r="B595" s="10" t="s">
        <v>262</v>
      </c>
      <c r="C595" s="11" t="s">
        <v>15</v>
      </c>
      <c r="D595" s="10" t="str">
        <f>_xlfn.XLOOKUP(C595, Mapping!$C:$C, Mapping!$E:$E, "Check ID")</f>
        <v>Home Expense</v>
      </c>
      <c r="E595" s="12" t="s">
        <v>336</v>
      </c>
      <c r="F595" s="13">
        <v>15000</v>
      </c>
    </row>
    <row r="596" spans="1:6" x14ac:dyDescent="0.3">
      <c r="A596" s="9">
        <v>46021</v>
      </c>
      <c r="B596" s="10" t="s">
        <v>262</v>
      </c>
      <c r="C596" s="11" t="s">
        <v>119</v>
      </c>
      <c r="D596" s="10" t="str">
        <f>_xlfn.XLOOKUP(C596, Mapping!$C:$C, Mapping!$E:$E, "Check ID")</f>
        <v>Card payment</v>
      </c>
      <c r="E596" s="12" t="s">
        <v>336</v>
      </c>
      <c r="F596" s="13">
        <v>12181.68</v>
      </c>
    </row>
    <row r="597" spans="1:6" x14ac:dyDescent="0.3">
      <c r="A597" s="9">
        <v>46021</v>
      </c>
      <c r="B597" s="10" t="s">
        <v>262</v>
      </c>
      <c r="C597" s="11" t="s">
        <v>14</v>
      </c>
      <c r="D597" s="10" t="str">
        <f>_xlfn.XLOOKUP(C597, Mapping!$C:$C, Mapping!$E:$E, "Check ID")</f>
        <v>Personal</v>
      </c>
      <c r="E597" s="12" t="s">
        <v>336</v>
      </c>
      <c r="F597" s="13">
        <v>2540</v>
      </c>
    </row>
    <row r="598" spans="1:6" x14ac:dyDescent="0.3">
      <c r="A598" s="19">
        <v>46021</v>
      </c>
      <c r="B598" s="15" t="s">
        <v>262</v>
      </c>
      <c r="C598" s="16" t="s">
        <v>12</v>
      </c>
      <c r="D598" s="15" t="str">
        <f>_xlfn.XLOOKUP(C598, Mapping!$C:$C, Mapping!$E:$E, "Check ID")</f>
        <v>Plantation</v>
      </c>
      <c r="E598" s="12" t="s">
        <v>336</v>
      </c>
      <c r="F598" s="17">
        <v>5000</v>
      </c>
    </row>
  </sheetData>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EBC5727-8310-4F4C-B0A3-70C7D60E49D1}">
  <ds:schemaRefs/>
</ds:datastoreItem>
</file>

<file path=customXml/itemProps2.xml><?xml version="1.0" encoding="utf-8"?>
<ds:datastoreItem xmlns:ds="http://schemas.openxmlformats.org/officeDocument/2006/customXml" ds:itemID="{32DB88A1-738A-4660-9184-00544D1EE4E2}">
  <ds:schemaRefs>
    <ds:schemaRef ds:uri="http://schemas.microsoft.com/DataMashup"/>
  </ds:schemaRefs>
</ds:datastoreItem>
</file>

<file path=customXml/itemProps3.xml><?xml version="1.0" encoding="utf-8"?>
<ds:datastoreItem xmlns:ds="http://schemas.openxmlformats.org/officeDocument/2006/customXml" ds:itemID="{E256DAEE-AAC9-47E4-B47B-D75153A71C3F}">
  <ds:schemaRefs/>
</ds:datastoreItem>
</file>

<file path=customXml/itemProps4.xml><?xml version="1.0" encoding="utf-8"?>
<ds:datastoreItem xmlns:ds="http://schemas.openxmlformats.org/officeDocument/2006/customXml" ds:itemID="{302A2412-5113-4F69-ACFB-3681AF77513C}">
  <ds:schemaRefs/>
</ds:datastoreItem>
</file>

<file path=customXml/itemProps5.xml><?xml version="1.0" encoding="utf-8"?>
<ds:datastoreItem xmlns:ds="http://schemas.openxmlformats.org/officeDocument/2006/customXml" ds:itemID="{B9CC8380-8AF2-49A2-95CE-4EED1864D0BE}">
  <ds:schemaRefs/>
</ds:datastoreItem>
</file>

<file path=customXml/itemProps6.xml><?xml version="1.0" encoding="utf-8"?>
<ds:datastoreItem xmlns:ds="http://schemas.openxmlformats.org/officeDocument/2006/customXml" ds:itemID="{8CAD756C-6689-43A6-977B-B44996637DAA}">
  <ds:schemaRefs/>
</ds:datastoreItem>
</file>

<file path=customXml/itemProps7.xml><?xml version="1.0" encoding="utf-8"?>
<ds:datastoreItem xmlns:ds="http://schemas.openxmlformats.org/officeDocument/2006/customXml" ds:itemID="{C2527C42-B514-4C67-9DD5-D232F21917F1}">
  <ds:schemaRefs/>
</ds:datastoreItem>
</file>

<file path=customXml/itemProps8.xml><?xml version="1.0" encoding="utf-8"?>
<ds:datastoreItem xmlns:ds="http://schemas.openxmlformats.org/officeDocument/2006/customXml" ds:itemID="{5449D11E-9D0C-4094-A2C3-23CB46F4016D}">
  <ds:schemaRefs/>
</ds:datastoreItem>
</file>

<file path=customXml/itemProps9.xml><?xml version="1.0" encoding="utf-8"?>
<ds:datastoreItem xmlns:ds="http://schemas.openxmlformats.org/officeDocument/2006/customXml" ds:itemID="{DA780146-75DD-4696-941B-029F2BE372B7}">
  <ds:schemaRefs/>
</ds:datastoreItem>
</file>

<file path=customXml/itemProps10.xml><?xml version="1.0" encoding="utf-8"?>
<ds:datastoreItem xmlns:ds="http://schemas.openxmlformats.org/officeDocument/2006/customXml" ds:itemID="{681950CC-0200-414C-9D21-8D9DF9EDB493}">
  <ds:schemaRefs/>
</ds:datastoreItem>
</file>

<file path=customXml/itemProps11.xml><?xml version="1.0" encoding="utf-8"?>
<ds:datastoreItem xmlns:ds="http://schemas.openxmlformats.org/officeDocument/2006/customXml" ds:itemID="{7CEFE8C4-89CD-40E8-8099-13722E8B4135}">
  <ds:schemaRefs/>
</ds:datastoreItem>
</file>

<file path=customXml/itemProps12.xml><?xml version="1.0" encoding="utf-8"?>
<ds:datastoreItem xmlns:ds="http://schemas.openxmlformats.org/officeDocument/2006/customXml" ds:itemID="{8263A5B1-0F11-46E0-A4B2-39C54AB729BA}">
  <ds:schemaRefs/>
</ds:datastoreItem>
</file>

<file path=customXml/itemProps13.xml><?xml version="1.0" encoding="utf-8"?>
<ds:datastoreItem xmlns:ds="http://schemas.openxmlformats.org/officeDocument/2006/customXml" ds:itemID="{578E1798-53D9-41E8-B6AF-25382A0D8C6B}">
  <ds:schemaRefs/>
</ds:datastoreItem>
</file>

<file path=customXml/itemProps14.xml><?xml version="1.0" encoding="utf-8"?>
<ds:datastoreItem xmlns:ds="http://schemas.openxmlformats.org/officeDocument/2006/customXml" ds:itemID="{0A569B91-7830-4310-A3C6-5A8B6E4F3010}">
  <ds:schemaRefs/>
</ds:datastoreItem>
</file>

<file path=customXml/itemProps15.xml><?xml version="1.0" encoding="utf-8"?>
<ds:datastoreItem xmlns:ds="http://schemas.openxmlformats.org/officeDocument/2006/customXml" ds:itemID="{4BFE3208-0AEE-46F3-81DF-6B2EC4D02A8A}">
  <ds:schemaRefs/>
</ds:datastoreItem>
</file>

<file path=customXml/itemProps16.xml><?xml version="1.0" encoding="utf-8"?>
<ds:datastoreItem xmlns:ds="http://schemas.openxmlformats.org/officeDocument/2006/customXml" ds:itemID="{5EE76F22-3513-47A7-A8C7-5016BA61568D}">
  <ds:schemaRefs/>
</ds:datastoreItem>
</file>

<file path=customXml/itemProps17.xml><?xml version="1.0" encoding="utf-8"?>
<ds:datastoreItem xmlns:ds="http://schemas.openxmlformats.org/officeDocument/2006/customXml" ds:itemID="{2A979991-27B3-4CDB-BE1A-66E2401AB2B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Master2</vt:lpstr>
      <vt:lpstr>Calcs</vt:lpstr>
      <vt:lpstr>Mapping</vt:lpstr>
      <vt:lpstr> 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biutchalfonso@gmail.com</dc:creator>
  <cp:lastModifiedBy>biutchalfonso@gmail.com</cp:lastModifiedBy>
  <dcterms:created xsi:type="dcterms:W3CDTF">2026-01-22T15:22:07Z</dcterms:created>
  <dcterms:modified xsi:type="dcterms:W3CDTF">2026-04-24T07:09:29Z</dcterms:modified>
</cp:coreProperties>
</file>